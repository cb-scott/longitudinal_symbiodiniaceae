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arlyscott/Documents/GitHub/longitudinal_symbiodiniaceae/data/symportal_profiles/"/>
    </mc:Choice>
  </mc:AlternateContent>
  <xr:revisionPtr revIDLastSave="0" documentId="8_{6A4212BA-D5DB-D34C-BCDC-ADAB2CBCBFB3}" xr6:coauthVersionLast="47" xr6:coauthVersionMax="47" xr10:uidLastSave="{00000000-0000-0000-0000-000000000000}"/>
  <bookViews>
    <workbookView xWindow="0" yWindow="520" windowWidth="22940" windowHeight="13260" xr2:uid="{00000000-000D-0000-FFFF-FFFF00000000}"/>
  </bookViews>
  <sheets>
    <sheet name="Profiles" sheetId="1" r:id="rId1"/>
    <sheet name="Profile key" sheetId="2" r:id="rId2"/>
    <sheet name="Not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6" i="1" l="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<sst xmlns="http://schemas.openxmlformats.org/spreadsheetml/2006/main" count="2253" uniqueCount="573">
  <si>
    <t>colony_id</t>
  </si>
  <si>
    <t>colony_number</t>
  </si>
  <si>
    <t>coral_species</t>
  </si>
  <si>
    <t>bleaching_phenotype</t>
  </si>
  <si>
    <t>date</t>
  </si>
  <si>
    <t>months_after_bleaching</t>
  </si>
  <si>
    <t>ITS2_type_profile</t>
  </si>
  <si>
    <t>estimated_profile_proportion</t>
  </si>
  <si>
    <t>sample_label</t>
  </si>
  <si>
    <t>sample_id</t>
  </si>
  <si>
    <t>panel</t>
  </si>
  <si>
    <t>figure_group</t>
  </si>
  <si>
    <t>profile_code</t>
  </si>
  <si>
    <t>extraction_note</t>
  </si>
  <si>
    <t>segment_height_px</t>
  </si>
  <si>
    <t>total_resolved_height_px</t>
  </si>
  <si>
    <t>Mcap_51</t>
  </si>
  <si>
    <t>Montipora capitata</t>
  </si>
  <si>
    <t>Bleaching susceptible</t>
  </si>
  <si>
    <t>2014-10</t>
  </si>
  <si>
    <t>C31-C17d-C31.1-C31a-C21-C31f-C17e-C31l-C21ac</t>
  </si>
  <si>
    <t>51Oct.14</t>
  </si>
  <si>
    <t>Mcap_51Oct.14</t>
  </si>
  <si>
    <t>A</t>
  </si>
  <si>
    <t>B M0</t>
  </si>
  <si>
    <t>Mcap_12</t>
  </si>
  <si>
    <t>2014-11</t>
  </si>
  <si>
    <t>51Nov.14</t>
  </si>
  <si>
    <t>Mcap_51Nov.14</t>
  </si>
  <si>
    <t>B M1</t>
  </si>
  <si>
    <t>2015-01</t>
  </si>
  <si>
    <t>51Jan.15</t>
  </si>
  <si>
    <t>Mcap_51Jan.15</t>
  </si>
  <si>
    <t>B M3</t>
  </si>
  <si>
    <t>2015-05</t>
  </si>
  <si>
    <t>51May.15</t>
  </si>
  <si>
    <t>Mcap_51May.15</t>
  </si>
  <si>
    <t>B M6</t>
  </si>
  <si>
    <t>Mcap_52</t>
  </si>
  <si>
    <t>Bleaching resistant</t>
  </si>
  <si>
    <t>52Oct.14</t>
  </si>
  <si>
    <t>Mcap_52Oct.14</t>
  </si>
  <si>
    <t>NB M0</t>
  </si>
  <si>
    <t>D4/D1-D6-D1ab-D17d-D17j-D3h</t>
  </si>
  <si>
    <t>Mcap_03</t>
  </si>
  <si>
    <t>52Nov.14</t>
  </si>
  <si>
    <t>Mcap_52Nov.14</t>
  </si>
  <si>
    <t>NB M1</t>
  </si>
  <si>
    <t>52Jan.15</t>
  </si>
  <si>
    <t>Mcap_52Jan.15</t>
  </si>
  <si>
    <t>NB M3</t>
  </si>
  <si>
    <t>52May.15</t>
  </si>
  <si>
    <t>Mcap_52May.15</t>
  </si>
  <si>
    <t>NB M6</t>
  </si>
  <si>
    <t>Mcap_53</t>
  </si>
  <si>
    <t>53Oct.14</t>
  </si>
  <si>
    <t>Mcap_53Oct.14</t>
  </si>
  <si>
    <t>53Nov.14</t>
  </si>
  <si>
    <t>Mcap_53Nov.14</t>
  </si>
  <si>
    <t>C31/C17d-C31.1-C21-C31a-C31f-C21ac-C17e-C31j</t>
  </si>
  <si>
    <t>53Jan.15</t>
  </si>
  <si>
    <t>Mcap_53Jan.15</t>
  </si>
  <si>
    <t>Mcap_11</t>
  </si>
  <si>
    <t>C31-C17d-C31.1-C21-C31a-C17e-C21ac</t>
  </si>
  <si>
    <t>53May.15</t>
  </si>
  <si>
    <t>Mcap_53May.15</t>
  </si>
  <si>
    <t>Mcap_10</t>
  </si>
  <si>
    <t>Mcap_54</t>
  </si>
  <si>
    <t>C31/C17d-C21-C31.9-C21ac-C17e-C31h-C31i</t>
  </si>
  <si>
    <t>54Oct.14</t>
  </si>
  <si>
    <t>Mcap_54Oct.14</t>
  </si>
  <si>
    <t>Mcap_09</t>
  </si>
  <si>
    <t>54Nov.14</t>
  </si>
  <si>
    <t>Mcap_54Nov.14</t>
  </si>
  <si>
    <t>54Jan.15</t>
  </si>
  <si>
    <t>Mcap_54Jan.15</t>
  </si>
  <si>
    <t>54May.15</t>
  </si>
  <si>
    <t>Mcap_54May.15</t>
  </si>
  <si>
    <t>Mcap_57</t>
  </si>
  <si>
    <t>57Oct.14</t>
  </si>
  <si>
    <t>Mcap_57Oct.14</t>
  </si>
  <si>
    <t>57Nov.14</t>
  </si>
  <si>
    <t>Mcap_57Nov.14</t>
  </si>
  <si>
    <t>57Jan.15</t>
  </si>
  <si>
    <t>Mcap_57Jan.15</t>
  </si>
  <si>
    <t>57May.15</t>
  </si>
  <si>
    <t>Mcap_57May.15</t>
  </si>
  <si>
    <t>Mcap_58</t>
  </si>
  <si>
    <t>D4/D1/D6-D1ab-D3h</t>
  </si>
  <si>
    <t>58Oct.14</t>
  </si>
  <si>
    <t>Mcap_58Oct.14</t>
  </si>
  <si>
    <t>Mcap_04</t>
  </si>
  <si>
    <t>58Nov.14</t>
  </si>
  <si>
    <t>Mcap_58Nov.14</t>
  </si>
  <si>
    <t>58Jan.15</t>
  </si>
  <si>
    <t>Mcap_58Jan.15</t>
  </si>
  <si>
    <t>58May.15</t>
  </si>
  <si>
    <t>Mcap_58May.15</t>
  </si>
  <si>
    <t>Mcap_65</t>
  </si>
  <si>
    <t>65Oct.14</t>
  </si>
  <si>
    <t>Mcap_65Oct.14</t>
  </si>
  <si>
    <t>65Nov.14</t>
  </si>
  <si>
    <t>Mcap_65Nov.14</t>
  </si>
  <si>
    <t>65Jan.15</t>
  </si>
  <si>
    <t>Mcap_65Jan.15</t>
  </si>
  <si>
    <t>65May.15</t>
  </si>
  <si>
    <t>Mcap_65May.15</t>
  </si>
  <si>
    <t>Mcap_66</t>
  </si>
  <si>
    <t>C31/C17d-C21-C31a-C21ac-C31.9-C17e</t>
  </si>
  <si>
    <t>66Oct.14</t>
  </si>
  <si>
    <t>Mcap_66Oct.14</t>
  </si>
  <si>
    <t>Mcap_08</t>
  </si>
  <si>
    <t>66Nov.14</t>
  </si>
  <si>
    <t>Mcap_66Nov.14</t>
  </si>
  <si>
    <t>66Jan.15</t>
  </si>
  <si>
    <t>Mcap_66Jan.15</t>
  </si>
  <si>
    <t>66May.15</t>
  </si>
  <si>
    <t>Mcap_66May.15</t>
  </si>
  <si>
    <t>Mcap_69</t>
  </si>
  <si>
    <t>69Oct.14</t>
  </si>
  <si>
    <t>Mcap_69Oct.14</t>
  </si>
  <si>
    <t>69Nov.14</t>
  </si>
  <si>
    <t>Mcap_69Nov.14</t>
  </si>
  <si>
    <t>69Jan.15</t>
  </si>
  <si>
    <t>Mcap_69Jan.15</t>
  </si>
  <si>
    <t>69May.15</t>
  </si>
  <si>
    <t>Mcap_69May.15</t>
  </si>
  <si>
    <t>Mcap_70</t>
  </si>
  <si>
    <t>70Oct.14</t>
  </si>
  <si>
    <t>Mcap_70Oct.14</t>
  </si>
  <si>
    <t>C31/C17d/C15-C21-C21ac-C17e</t>
  </si>
  <si>
    <t>Mcap_01</t>
  </si>
  <si>
    <t>70Nov.14</t>
  </si>
  <si>
    <t>Mcap_70Nov.14</t>
  </si>
  <si>
    <t>C31/C17d-C21-C21ac-C17e</t>
  </si>
  <si>
    <t>Mcap_02</t>
  </si>
  <si>
    <t>70Jan.15</t>
  </si>
  <si>
    <t>Mcap_70Jan.15</t>
  </si>
  <si>
    <t>70May.15</t>
  </si>
  <si>
    <t>Mcap_70May.15</t>
  </si>
  <si>
    <t>Mcap_71</t>
  </si>
  <si>
    <t>71Oct.14</t>
  </si>
  <si>
    <t>Mcap_71Oct.14</t>
  </si>
  <si>
    <t>C31/C17d-C21-C21ac-C31k-C31.9</t>
  </si>
  <si>
    <t>71Nov.14</t>
  </si>
  <si>
    <t>Mcap_71Nov.14</t>
  </si>
  <si>
    <t>Mcap_07</t>
  </si>
  <si>
    <t>71Jan.15</t>
  </si>
  <si>
    <t>Mcap_71Jan.15</t>
  </si>
  <si>
    <t>71May.15</t>
  </si>
  <si>
    <t>Mcap_71May.15</t>
  </si>
  <si>
    <t>Mcap_72</t>
  </si>
  <si>
    <t>C31/C17d-C21-C21ac-C17e-C31a-C17f</t>
  </si>
  <si>
    <t>72Oct.14</t>
  </si>
  <si>
    <t>Mcap_72Oct.14</t>
  </si>
  <si>
    <t>Mcap_06</t>
  </si>
  <si>
    <t>Small segment; approximate proportion.</t>
  </si>
  <si>
    <t>72Nov.14</t>
  </si>
  <si>
    <t>Mcap_72Nov.14</t>
  </si>
  <si>
    <t>Very small purple cap confirmed visually; its proportion is near the image resolution limit.</t>
  </si>
  <si>
    <t>72Jan.15</t>
  </si>
  <si>
    <t>Mcap_72Jan.15</t>
  </si>
  <si>
    <t>72May.15</t>
  </si>
  <si>
    <t>Mcap_72May.15</t>
  </si>
  <si>
    <t>Mcap_77</t>
  </si>
  <si>
    <t>77Oct.14</t>
  </si>
  <si>
    <t>Mcap_77Oct.14</t>
  </si>
  <si>
    <t>77Nov.14</t>
  </si>
  <si>
    <t>Mcap_77Nov.14</t>
  </si>
  <si>
    <t>77Jan.15</t>
  </si>
  <si>
    <t>Mcap_77Jan.15</t>
  </si>
  <si>
    <t>77May.15</t>
  </si>
  <si>
    <t>Mcap_77May.15</t>
  </si>
  <si>
    <t>Mcap_78</t>
  </si>
  <si>
    <t>C17d/C31-C21-C21ac-C17e-C17f-C31.9</t>
  </si>
  <si>
    <t>78Oct.14</t>
  </si>
  <si>
    <t>Mcap_78Oct.14</t>
  </si>
  <si>
    <t>Mcap_05</t>
  </si>
  <si>
    <t>78Nov.14</t>
  </si>
  <si>
    <t>Mcap_78Nov.14</t>
  </si>
  <si>
    <t>78Jan.15</t>
  </si>
  <si>
    <t>Mcap_78Jan.15</t>
  </si>
  <si>
    <t>78May.15</t>
  </si>
  <si>
    <t>Mcap_78May.15</t>
  </si>
  <si>
    <t>Mcap_79</t>
  </si>
  <si>
    <t>79Oct.14</t>
  </si>
  <si>
    <t>Mcap_79Oct.14</t>
  </si>
  <si>
    <t>79Nov.14</t>
  </si>
  <si>
    <t>Mcap_79Nov.14</t>
  </si>
  <si>
    <t>79Jan.15</t>
  </si>
  <si>
    <t>Mcap_79Jan.15</t>
  </si>
  <si>
    <t>79May.15</t>
  </si>
  <si>
    <t>Mcap_79May.15</t>
  </si>
  <si>
    <t>Mcap_80</t>
  </si>
  <si>
    <t>80Oct.14</t>
  </si>
  <si>
    <t>Mcap_80Oct.14</t>
  </si>
  <si>
    <t>80Nov.14</t>
  </si>
  <si>
    <t>Mcap_80Nov.14</t>
  </si>
  <si>
    <t>80Jan.15</t>
  </si>
  <si>
    <t>Mcap_80Jan.15</t>
  </si>
  <si>
    <t>80May.15</t>
  </si>
  <si>
    <t>Mcap_80May.15</t>
  </si>
  <si>
    <t>Mcap_83</t>
  </si>
  <si>
    <t>83Oct.14</t>
  </si>
  <si>
    <t>Mcap_83Oct.14</t>
  </si>
  <si>
    <t>83Nov.14</t>
  </si>
  <si>
    <t>Mcap_83Nov.14</t>
  </si>
  <si>
    <t>83Jan.15</t>
  </si>
  <si>
    <t>Mcap_83Jan.15</t>
  </si>
  <si>
    <t>83May.15</t>
  </si>
  <si>
    <t>Mcap_83May.15</t>
  </si>
  <si>
    <t>Mcap_84</t>
  </si>
  <si>
    <t>84Oct.14</t>
  </si>
  <si>
    <t>Mcap_84Oct.14</t>
  </si>
  <si>
    <t>84Nov.14</t>
  </si>
  <si>
    <t>Mcap_84Nov.14</t>
  </si>
  <si>
    <t>84Jan.15</t>
  </si>
  <si>
    <t>Mcap_84Jan.15</t>
  </si>
  <si>
    <t>84May.15</t>
  </si>
  <si>
    <t>Mcap_84May.15</t>
  </si>
  <si>
    <t>Pacu_75</t>
  </si>
  <si>
    <t>Pocillopora acuta</t>
  </si>
  <si>
    <t>C1d-C42.2-C1-C3cg-C1b-C3cw-C115k</t>
  </si>
  <si>
    <t>75Oct.14</t>
  </si>
  <si>
    <t>Pacu_75Oct.14</t>
  </si>
  <si>
    <t>C</t>
  </si>
  <si>
    <t>Pacu_07</t>
  </si>
  <si>
    <t>75Nov.14</t>
  </si>
  <si>
    <t>Pacu_75Nov.14</t>
  </si>
  <si>
    <t>75Jan.15</t>
  </si>
  <si>
    <t>Pacu_75Jan.15</t>
  </si>
  <si>
    <t>75May.15</t>
  </si>
  <si>
    <t>Pacu_75May.15</t>
  </si>
  <si>
    <t>Pacu_76</t>
  </si>
  <si>
    <t>C1d/C42.2/C1-C1k-C1b</t>
  </si>
  <si>
    <t>76Oct.14</t>
  </si>
  <si>
    <t>Pacu_76Oct.14</t>
  </si>
  <si>
    <t>Pacu_05</t>
  </si>
  <si>
    <t>C1d/C42.2-C1-C3cg</t>
  </si>
  <si>
    <t>76Nov.14</t>
  </si>
  <si>
    <t>Pacu_76Nov.14</t>
  </si>
  <si>
    <t>Pacu_06</t>
  </si>
  <si>
    <t>76Jan.15</t>
  </si>
  <si>
    <t>Pacu_76Jan.15</t>
  </si>
  <si>
    <t>76May.15</t>
  </si>
  <si>
    <t>Pacu_76May.15</t>
  </si>
  <si>
    <t>Pacu_87</t>
  </si>
  <si>
    <t>87Oct.14</t>
  </si>
  <si>
    <t>Pacu_87Oct.14</t>
  </si>
  <si>
    <t>87Nov.14</t>
  </si>
  <si>
    <t>Pacu_87Nov.14</t>
  </si>
  <si>
    <t>87Jan.15</t>
  </si>
  <si>
    <t>Pacu_87Jan.15</t>
  </si>
  <si>
    <t>87May.15</t>
  </si>
  <si>
    <t>Pacu_87May.15</t>
  </si>
  <si>
    <t>Pacu_88</t>
  </si>
  <si>
    <t>88Oct.14</t>
  </si>
  <si>
    <t>Pacu_88Oct.14</t>
  </si>
  <si>
    <t>88Nov.14</t>
  </si>
  <si>
    <t>Pacu_88Nov.14</t>
  </si>
  <si>
    <t>C1d/C42.2/C1</t>
  </si>
  <si>
    <t>88Jan.15</t>
  </si>
  <si>
    <t>Pacu_88Jan.15</t>
  </si>
  <si>
    <t>Pacu_04</t>
  </si>
  <si>
    <t>88May.15</t>
  </si>
  <si>
    <t>Pacu_88May.15</t>
  </si>
  <si>
    <t>Pacu_89</t>
  </si>
  <si>
    <t>89Oct.14</t>
  </si>
  <si>
    <t>Pacu_89Oct.14</t>
  </si>
  <si>
    <t>89Nov.14</t>
  </si>
  <si>
    <t>Pacu_89Nov.14</t>
  </si>
  <si>
    <t>89May.15</t>
  </si>
  <si>
    <t>Pacu_89May.15</t>
  </si>
  <si>
    <t>Pacu_97</t>
  </si>
  <si>
    <t>97Oct.14</t>
  </si>
  <si>
    <t>Pacu_97Oct.14</t>
  </si>
  <si>
    <t>C1d-C1di-C42.2-C1dx-C1</t>
  </si>
  <si>
    <t>97Nov.14</t>
  </si>
  <si>
    <t>Pacu_97Nov.14</t>
  </si>
  <si>
    <t>Pacu_02</t>
  </si>
  <si>
    <t>C1d</t>
  </si>
  <si>
    <t>97Jan.15</t>
  </si>
  <si>
    <t>Pacu_97Jan.15</t>
  </si>
  <si>
    <t>Pacu_03</t>
  </si>
  <si>
    <t>97May.15</t>
  </si>
  <si>
    <t>Pacu_97May.15</t>
  </si>
  <si>
    <t>Pacu_98</t>
  </si>
  <si>
    <t>98Oct.14</t>
  </si>
  <si>
    <t>Pacu_98Oct.14</t>
  </si>
  <si>
    <t>98Nov.14</t>
  </si>
  <si>
    <t>Pacu_98Nov.14</t>
  </si>
  <si>
    <t>98Jan.15</t>
  </si>
  <si>
    <t>Pacu_98Jan.15</t>
  </si>
  <si>
    <t>98May.15</t>
  </si>
  <si>
    <t>Pacu_98May.15</t>
  </si>
  <si>
    <t>Pacu_99</t>
  </si>
  <si>
    <t>99Oct.14</t>
  </si>
  <si>
    <t>Pacu_99Oct.14</t>
  </si>
  <si>
    <t>99Nov.14</t>
  </si>
  <si>
    <t>Pacu_99Nov.14</t>
  </si>
  <si>
    <t>C1d/C15/C1-C42.2</t>
  </si>
  <si>
    <t>99Jan.15</t>
  </si>
  <si>
    <t>Pacu_99Jan.15</t>
  </si>
  <si>
    <t>Pacu_01</t>
  </si>
  <si>
    <t>99May.15</t>
  </si>
  <si>
    <t>Pacu_99May.15</t>
  </si>
  <si>
    <t>Pcom_55</t>
  </si>
  <si>
    <t>Porites compressa</t>
  </si>
  <si>
    <t>C15-C15cl-C15cj-C15n-C15l</t>
  </si>
  <si>
    <t>55Oct.14</t>
  </si>
  <si>
    <t>Pcom_55Oct.14</t>
  </si>
  <si>
    <t>B</t>
  </si>
  <si>
    <t>Pcom_09</t>
  </si>
  <si>
    <t>C15-C15ci-C15cc-C15cl-C15n-C15cj-C15l</t>
  </si>
  <si>
    <t>55Nov.14</t>
  </si>
  <si>
    <t>Pcom_55Nov.14</t>
  </si>
  <si>
    <t>Pcom_10</t>
  </si>
  <si>
    <t>55Jan.15</t>
  </si>
  <si>
    <t>Pcom_55Jan.15</t>
  </si>
  <si>
    <t>55May.15</t>
  </si>
  <si>
    <t>Pcom_55May.15</t>
  </si>
  <si>
    <t>Pcom_56</t>
  </si>
  <si>
    <t>C15-C15ci-C15cl-C15n-C15ie-C15ch</t>
  </si>
  <si>
    <t>56Oct.14</t>
  </si>
  <si>
    <t>Pcom_56Oct.14</t>
  </si>
  <si>
    <t>Pcom_07</t>
  </si>
  <si>
    <t>C15-C15ci-C15cj-C15n-C15ch-C15id-C15l</t>
  </si>
  <si>
    <t>56Nov.14</t>
  </si>
  <si>
    <t>Pcom_56Nov.14</t>
  </si>
  <si>
    <t>Pcom_08</t>
  </si>
  <si>
    <t>56Jan.15</t>
  </si>
  <si>
    <t>Pcom_56Jan.15</t>
  </si>
  <si>
    <t>56May.15</t>
  </si>
  <si>
    <t>Pcom_56May.15</t>
  </si>
  <si>
    <t>Pcom_59</t>
  </si>
  <si>
    <t>59Oct.14</t>
  </si>
  <si>
    <t>Pcom_59Oct.14</t>
  </si>
  <si>
    <t>59Nov.14</t>
  </si>
  <si>
    <t>Pcom_59Nov.14</t>
  </si>
  <si>
    <t>59Jan.15</t>
  </si>
  <si>
    <t>Pcom_59Jan.15</t>
  </si>
  <si>
    <t>59May.15</t>
  </si>
  <si>
    <t>Pcom_59May.15</t>
  </si>
  <si>
    <t>Pcom_60</t>
  </si>
  <si>
    <t>60Oct.14</t>
  </si>
  <si>
    <t>Pcom_60Oct.14</t>
  </si>
  <si>
    <t>60Nov.14</t>
  </si>
  <si>
    <t>Pcom_60Nov.14</t>
  </si>
  <si>
    <t>60Jan.15</t>
  </si>
  <si>
    <t>Pcom_60Jan.15</t>
  </si>
  <si>
    <t>C15-C15ci-C15n-C15cf-C15ce-C15ck-C15l-C15hd</t>
  </si>
  <si>
    <t>60May.15</t>
  </si>
  <si>
    <t>Pcom_60May.15</t>
  </si>
  <si>
    <t>Pcom_06</t>
  </si>
  <si>
    <t>Pcom_61</t>
  </si>
  <si>
    <t>61Oct.14</t>
  </si>
  <si>
    <t>Pcom_61Oct.14</t>
  </si>
  <si>
    <t>61Nov.14</t>
  </si>
  <si>
    <t>Pcom_61Nov.14</t>
  </si>
  <si>
    <t>61Jan.15</t>
  </si>
  <si>
    <t>Pcom_61Jan.15</t>
  </si>
  <si>
    <t>61May.15</t>
  </si>
  <si>
    <t>Pcom_61May.15</t>
  </si>
  <si>
    <t>Pcom_62</t>
  </si>
  <si>
    <t>62Oct.14</t>
  </si>
  <si>
    <t>Pcom_62Oct.14</t>
  </si>
  <si>
    <t>62Nov.14</t>
  </si>
  <si>
    <t>Pcom_62Nov.14</t>
  </si>
  <si>
    <t>62Jan.15</t>
  </si>
  <si>
    <t>Pcom_62Jan.15</t>
  </si>
  <si>
    <t>62May.15</t>
  </si>
  <si>
    <t>Pcom_62May.15</t>
  </si>
  <si>
    <t>Pcom_63</t>
  </si>
  <si>
    <t>63Oct.14</t>
  </si>
  <si>
    <t>Pcom_63Oct.14</t>
  </si>
  <si>
    <t>63Nov.14</t>
  </si>
  <si>
    <t>Pcom_63Nov.14</t>
  </si>
  <si>
    <t>63Jan.15</t>
  </si>
  <si>
    <t>Pcom_63Jan.15</t>
  </si>
  <si>
    <t>63May.15</t>
  </si>
  <si>
    <t>Pcom_63May.15</t>
  </si>
  <si>
    <t>Pcom_64</t>
  </si>
  <si>
    <t>64Oct.14</t>
  </si>
  <si>
    <t>Pcom_64Oct.14</t>
  </si>
  <si>
    <t>64Nov.14</t>
  </si>
  <si>
    <t>Pcom_64Nov.14</t>
  </si>
  <si>
    <t>64Jan.15</t>
  </si>
  <si>
    <t>Pcom_64Jan.15</t>
  </si>
  <si>
    <t>64May.15</t>
  </si>
  <si>
    <t>Pcom_64May.15</t>
  </si>
  <si>
    <t>Pcom_01</t>
  </si>
  <si>
    <t>Pcom_67</t>
  </si>
  <si>
    <t>67Oct.14</t>
  </si>
  <si>
    <t>Pcom_67Oct.14</t>
  </si>
  <si>
    <t>67Nov.14</t>
  </si>
  <si>
    <t>Pcom_67Nov.14</t>
  </si>
  <si>
    <t>C3u/C3</t>
  </si>
  <si>
    <t>Pcom_03</t>
  </si>
  <si>
    <t>67Jan.15</t>
  </si>
  <si>
    <t>Pcom_67Jan.15</t>
  </si>
  <si>
    <t>67May.15</t>
  </si>
  <si>
    <t>Pcom_67May.15</t>
  </si>
  <si>
    <t>Pcom_68</t>
  </si>
  <si>
    <t>68Oct.14</t>
  </si>
  <si>
    <t>Pcom_68Oct.14</t>
  </si>
  <si>
    <t>68Nov.14</t>
  </si>
  <si>
    <t>Pcom_68Nov.14</t>
  </si>
  <si>
    <t>68Jan.15</t>
  </si>
  <si>
    <t>Pcom_68Jan.15</t>
  </si>
  <si>
    <t>68May.15</t>
  </si>
  <si>
    <t>Pcom_68May.15</t>
  </si>
  <si>
    <t>Pcom_73</t>
  </si>
  <si>
    <t>73Oct.14</t>
  </si>
  <si>
    <t>Pcom_73Oct.14</t>
  </si>
  <si>
    <t>C3</t>
  </si>
  <si>
    <t>Pcom_02</t>
  </si>
  <si>
    <t>73Nov.14</t>
  </si>
  <si>
    <t>Pcom_73Nov.14</t>
  </si>
  <si>
    <t>73Jan.15</t>
  </si>
  <si>
    <t>Pcom_73Jan.15</t>
  </si>
  <si>
    <t>73May.15</t>
  </si>
  <si>
    <t>Pcom_73May.15</t>
  </si>
  <si>
    <t>Pcom_74</t>
  </si>
  <si>
    <t>74Oct.14</t>
  </si>
  <si>
    <t>Pcom_74Oct.14</t>
  </si>
  <si>
    <t>74Nov.14</t>
  </si>
  <si>
    <t>Pcom_74Nov.14</t>
  </si>
  <si>
    <t>74Jan.15</t>
  </si>
  <si>
    <t>Pcom_74Jan.15</t>
  </si>
  <si>
    <t>74May.15</t>
  </si>
  <si>
    <t>Pcom_74May.15</t>
  </si>
  <si>
    <t>Pcom_81</t>
  </si>
  <si>
    <t>C15/C31/C17d-C21</t>
  </si>
  <si>
    <t>81Oct.14</t>
  </si>
  <si>
    <t>Pcom_81Oct.14</t>
  </si>
  <si>
    <t>Pcom_05</t>
  </si>
  <si>
    <t>81Nov.14</t>
  </si>
  <si>
    <t>Pcom_81Nov.14</t>
  </si>
  <si>
    <t>81Jan.15</t>
  </si>
  <si>
    <t>Pcom_81Jan.15</t>
  </si>
  <si>
    <t>81May.15</t>
  </si>
  <si>
    <t>Pcom_81May.15</t>
  </si>
  <si>
    <t>Pcom_82</t>
  </si>
  <si>
    <t>82Oct.14</t>
  </si>
  <si>
    <t>Pcom_82Oct.14</t>
  </si>
  <si>
    <t>82Nov.14</t>
  </si>
  <si>
    <t>Pcom_82Nov.14</t>
  </si>
  <si>
    <t>82Jan.15</t>
  </si>
  <si>
    <t>Pcom_82Jan.15</t>
  </si>
  <si>
    <t>82May.15</t>
  </si>
  <si>
    <t>Pcom_82May.15</t>
  </si>
  <si>
    <t>Pcom_85</t>
  </si>
  <si>
    <t>85Oct.14</t>
  </si>
  <si>
    <t>Pcom_85Oct.14</t>
  </si>
  <si>
    <t>85Nov.14</t>
  </si>
  <si>
    <t>Pcom_85Nov.14</t>
  </si>
  <si>
    <t>85Jan.15</t>
  </si>
  <si>
    <t>Pcom_85Jan.15</t>
  </si>
  <si>
    <t>85May.15</t>
  </si>
  <si>
    <t>Pcom_85May.15</t>
  </si>
  <si>
    <t>Pcom_86</t>
  </si>
  <si>
    <t>86Oct.14</t>
  </si>
  <si>
    <t>Pcom_86Oct.14</t>
  </si>
  <si>
    <t>86Nov.14</t>
  </si>
  <si>
    <t>Pcom_86Nov.14</t>
  </si>
  <si>
    <t>86Jan.15</t>
  </si>
  <si>
    <t>Pcom_86Jan.15</t>
  </si>
  <si>
    <t>86May.15</t>
  </si>
  <si>
    <t>Pcom_86May.15</t>
  </si>
  <si>
    <t>Pcom_93</t>
  </si>
  <si>
    <t>93Oct.14</t>
  </si>
  <si>
    <t>Pcom_93Oct.14</t>
  </si>
  <si>
    <t>93Nov.14</t>
  </si>
  <si>
    <t>Pcom_93Nov.14</t>
  </si>
  <si>
    <t>93Jan.15</t>
  </si>
  <si>
    <t>Pcom_93Jan.15</t>
  </si>
  <si>
    <t>93May.15</t>
  </si>
  <si>
    <t>Pcom_93May.15</t>
  </si>
  <si>
    <t>Pcom_94</t>
  </si>
  <si>
    <t>94Oct.14</t>
  </si>
  <si>
    <t>Pcom_94Oct.14</t>
  </si>
  <si>
    <t>C15</t>
  </si>
  <si>
    <t>94Nov.14</t>
  </si>
  <si>
    <t>Pcom_94Nov.14</t>
  </si>
  <si>
    <t>Pcom_04</t>
  </si>
  <si>
    <t>94Jan.15</t>
  </si>
  <si>
    <t>Pcom_94Jan.15</t>
  </si>
  <si>
    <t>94May.15</t>
  </si>
  <si>
    <t>Pcom_94May.15</t>
  </si>
  <si>
    <t>Pcom_95</t>
  </si>
  <si>
    <t>95Oct.14</t>
  </si>
  <si>
    <t>Pcom_95Oct.14</t>
  </si>
  <si>
    <t>95Nov.14</t>
  </si>
  <si>
    <t>Pcom_95Nov.14</t>
  </si>
  <si>
    <t>95Jan.15</t>
  </si>
  <si>
    <t>Pcom_95Jan.15</t>
  </si>
  <si>
    <t>95May.15</t>
  </si>
  <si>
    <t>Pcom_95May.15</t>
  </si>
  <si>
    <t>Pcom_96</t>
  </si>
  <si>
    <t>96Oct.14</t>
  </si>
  <si>
    <t>Pcom_96Oct.14</t>
  </si>
  <si>
    <t>96Nov.14</t>
  </si>
  <si>
    <t>Pcom_96Nov.14</t>
  </si>
  <si>
    <t>96Jan.15</t>
  </si>
  <si>
    <t>Pcom_96Jan.15</t>
  </si>
  <si>
    <t>96May.15</t>
  </si>
  <si>
    <t>Pcom_96May.15</t>
  </si>
  <si>
    <t>species_code</t>
  </si>
  <si>
    <t>legend_color_hex</t>
  </si>
  <si>
    <t>Mcap</t>
  </si>
  <si>
    <t>#F1A361</t>
  </si>
  <si>
    <t>#686C66</t>
  </si>
  <si>
    <t>#7C1B86</t>
  </si>
  <si>
    <t>#FE4292</t>
  </si>
  <si>
    <t>#CDB9F4</t>
  </si>
  <si>
    <t>#29E143</t>
  </si>
  <si>
    <t>#A44C5C</t>
  </si>
  <si>
    <t>#1571EC</t>
  </si>
  <si>
    <t>#F1230C</t>
  </si>
  <si>
    <t>#CCC751</t>
  </si>
  <si>
    <t>#EE3BEF</t>
  </si>
  <si>
    <t>#32C8BD</t>
  </si>
  <si>
    <t>Pcom</t>
  </si>
  <si>
    <t>#D88C41</t>
  </si>
  <si>
    <t>#719B6B</t>
  </si>
  <si>
    <t>#EF4C9F</t>
  </si>
  <si>
    <t>#0CF949</t>
  </si>
  <si>
    <t>#7794FC</t>
  </si>
  <si>
    <t>#FBC2D3</t>
  </si>
  <si>
    <t>#F45A1C</t>
  </si>
  <si>
    <t>#2EF7F1</t>
  </si>
  <si>
    <t>#EDE721</t>
  </si>
  <si>
    <t>Pacu</t>
  </si>
  <si>
    <t>#362257</t>
  </si>
  <si>
    <t>#A34C5C</t>
  </si>
  <si>
    <t>#1472EB</t>
  </si>
  <si>
    <t>#3CA9A4</t>
  </si>
  <si>
    <t>#94A11D</t>
  </si>
  <si>
    <t>#ED3AF1</t>
  </si>
  <si>
    <t>item</t>
  </si>
  <si>
    <t>definition</t>
  </si>
  <si>
    <t>Source</t>
  </si>
  <si>
    <t>User-supplied image 1-s2.0-S004896972302661X-gr4_lrg.jpg, Figure 4, and the caption supplied in this conversation. Only the lower bars labeled Profiles were extracted.</t>
  </si>
  <si>
    <t>Scope</t>
  </si>
  <si>
    <t>183 displayed samples from 46 coral colonies: Montipora capitata, 72 samples / 18 colonies; Porites compressa, 80 samples / 20 colonies; Pocillopora acuta, 31 samples / 8 colonies.</t>
  </si>
  <si>
    <t>Tidy structure</t>
  </si>
  <si>
    <t>One row per displayed sample and ITS2 type profile. Multi-profile samples have multiple rows. Full profile strings appear directly in ITS2_type_profile. Rows are sorted by coral species, colony number, and date.</t>
  </si>
  <si>
    <t>Colony identifiers</t>
  </si>
  <si>
    <t>colony_number is transcribed from the leading digits of the sample label. colony_id adds the species code for uniqueness (for example Mcap_51). Original sample labels are retained in sample_label.</t>
  </si>
  <si>
    <t>Dates</t>
  </si>
  <si>
    <t>date is YYYY-MM text because exact sampling days are not given. Oct.14 = 2014-10; Nov.14 = 2014-11; Jan.15 = 2015-01; May.15 = 2015-05. No day was imputed.</t>
  </si>
  <si>
    <t>Time since bleaching</t>
  </si>
  <si>
    <t>months_after_bleaching preserves the panel labels M0, M1, M3, M6 as 0, 1, 3, 6. It is not calculated from dates: October 2014 to May 2015 spans seven calendar months, while the figure labels May M6.</t>
  </si>
  <si>
    <t>Phenotype</t>
  </si>
  <si>
    <t>B = Bleaching susceptible; NB = Bleaching resistant, as defined by the supplied caption. All Pocillopora acuta samples are in B panels.</t>
  </si>
  <si>
    <t>Estimated proportions</t>
  </si>
  <si>
    <t>The caption states that profile bars are normalized to 1. Segment heights were measured from the image and divided by the total resolved segment height in each sample. Proportions are approximate and displayed to two decimal places.</t>
  </si>
  <si>
    <t>Measurement method</t>
  </si>
  <si>
    <t>Within each lower bar, the median of three central pixel columns was compared with its panel-specific legend colors. Vertical color runs were counted; one-pixel transition artifacts were omitted and resolved heights renormalized to sum to 1.</t>
  </si>
  <si>
    <t>Small segments</t>
  </si>
  <si>
    <t>Segments shorter than five pixels are flagged. A visually confirmed purple cap in Mcap_72Nov.14 is about one pixel high and was retained with an uncertainty note. Its exact proportion cannot be measured reliably at this resolution.</t>
  </si>
  <si>
    <t>Precision</t>
  </si>
  <si>
    <t>Profiles occupy approximately 92–96 vertical pixels. Edge placement and JPEG compression can shift proportions by roughly one to a few percentage points; this is not a statistical confidence interval. Subpixel profiles may be unresolved.</t>
  </si>
  <si>
    <t>Missing sample</t>
  </si>
  <si>
    <t>Pacu_89 has no displayed sample in January 2015 (M3). No zero or missing-data row was invented. The reason for the absent bar cannot be determined from the figure.</t>
  </si>
  <si>
    <t>Profiles versus sequences</t>
  </si>
  <si>
    <t>The upper ITS2 sequence bars were excluded. The &gt;3% detection statement in the caption refers to the upper sequence bars and was not applied as a filter to the lower predicted profiles.</t>
  </si>
  <si>
    <t>Profile labels</t>
  </si>
  <si>
    <t>Slash, hyphen, decimal, and letter structure is retained from the lower-bar legends. Profile codes such as Mcap_01 are lookup labels assigned for this extraction, not original biological identifiers.</t>
  </si>
  <si>
    <t>Letter transcription</t>
  </si>
  <si>
    <t>The last tokens of Mcap_09 and Mcap_12 are transcribed as C31i and C31l-C21ac, respectively. C15l uses lowercase l. Small-font i/l distinctions should be checked against original profile output before sequence-level joins.</t>
  </si>
  <si>
    <t>Interpretation</t>
  </si>
  <si>
    <t>Values represent the predicted ITS2 profile composition shown in the figure. They are not direct estimates of symbiont cell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</si>
</sst>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243447"/>
      <name val="Arial"/>
      <family val="2"/>
    </font>
    <font>
      <b/>
      <sz val="10"/>
      <color rgb="FFFFFFFF"/>
      <name val="Arial"/>
      <family val="2"/>
    </font>
    <font>
      <sz val="10"/>
      <color rgb="FF182938"/>
      <name val="Arial"/>
      <family val="2"/>
    </font>
    <font>
      <sz val="10"/>
      <color rgb="FFFFFFFF"/>
      <name val="Arial"/>
      <family val="2"/>
    </font>
  </fonts>
  <fills count="30">
    <fill>
      <patternFill patternType="none"/>
    </fill>
    <fill>
      <patternFill patternType="gray125"/>
    </fill>
    <fill>
      <patternFill patternType="solid">
        <fgColor rgb="FF24475B"/>
      </patternFill>
    </fill>
    <fill>
      <patternFill patternType="solid">
        <fgColor rgb="FFF1A361"/>
      </patternFill>
    </fill>
    <fill>
      <patternFill patternType="solid">
        <fgColor rgb="FF686C66"/>
      </patternFill>
    </fill>
    <fill>
      <patternFill patternType="solid">
        <fgColor rgb="FF7C1B86"/>
      </patternFill>
    </fill>
    <fill>
      <patternFill patternType="solid">
        <fgColor rgb="FFFE4292"/>
      </patternFill>
    </fill>
    <fill>
      <patternFill patternType="solid">
        <fgColor rgb="FFCDB9F4"/>
      </patternFill>
    </fill>
    <fill>
      <patternFill patternType="solid">
        <fgColor rgb="FF29E143"/>
      </patternFill>
    </fill>
    <fill>
      <patternFill patternType="solid">
        <fgColor rgb="FFA44C5C"/>
      </patternFill>
    </fill>
    <fill>
      <patternFill patternType="solid">
        <fgColor rgb="FF1571EC"/>
      </patternFill>
    </fill>
    <fill>
      <patternFill patternType="solid">
        <fgColor rgb="FFF1230C"/>
      </patternFill>
    </fill>
    <fill>
      <patternFill patternType="solid">
        <fgColor rgb="FFCCC751"/>
      </patternFill>
    </fill>
    <fill>
      <patternFill patternType="solid">
        <fgColor rgb="FFEE3BEF"/>
      </patternFill>
    </fill>
    <fill>
      <patternFill patternType="solid">
        <fgColor rgb="FF32C8BD"/>
      </patternFill>
    </fill>
    <fill>
      <patternFill patternType="solid">
        <fgColor rgb="FFD88C41"/>
      </patternFill>
    </fill>
    <fill>
      <patternFill patternType="solid">
        <fgColor rgb="FF719B6B"/>
      </patternFill>
    </fill>
    <fill>
      <patternFill patternType="solid">
        <fgColor rgb="FFEF4C9F"/>
      </patternFill>
    </fill>
    <fill>
      <patternFill patternType="solid">
        <fgColor rgb="FF0CF949"/>
      </patternFill>
    </fill>
    <fill>
      <patternFill patternType="solid">
        <fgColor rgb="FF7794FC"/>
      </patternFill>
    </fill>
    <fill>
      <patternFill patternType="solid">
        <fgColor rgb="FFFBC2D3"/>
      </patternFill>
    </fill>
    <fill>
      <patternFill patternType="solid">
        <fgColor rgb="FFF45A1C"/>
      </patternFill>
    </fill>
    <fill>
      <patternFill patternType="solid">
        <fgColor rgb="FF2EF7F1"/>
      </patternFill>
    </fill>
    <fill>
      <patternFill patternType="solid">
        <fgColor rgb="FFEDE721"/>
      </patternFill>
    </fill>
    <fill>
      <patternFill patternType="solid">
        <fgColor rgb="FF362257"/>
      </patternFill>
    </fill>
    <fill>
      <patternFill patternType="solid">
        <fgColor rgb="FFA34C5C"/>
      </patternFill>
    </fill>
    <fill>
      <patternFill patternType="solid">
        <fgColor rgb="FF1472EB"/>
      </patternFill>
    </fill>
    <fill>
      <patternFill patternType="solid">
        <fgColor rgb="FF3CA9A4"/>
      </patternFill>
    </fill>
    <fill>
      <patternFill patternType="solid">
        <fgColor rgb="FF94A11D"/>
      </patternFill>
    </fill>
    <fill>
      <patternFill patternType="solid">
        <fgColor rgb="FFED3AF1"/>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applyAlignment="1">
      <alignment vertical="center"/>
    </xf>
    <xf numFmtId="0" fontId="2" fillId="2" borderId="0" xfId="0" applyFont="1" applyFill="1" applyAlignment="1">
      <alignment vertical="center" wrapText="1"/>
    </xf>
    <xf numFmtId="2" fontId="1" fillId="0" borderId="0" xfId="0" applyNumberFormat="1" applyFont="1" applyAlignment="1">
      <alignment vertical="center"/>
    </xf>
    <xf numFmtId="0" fontId="3" fillId="3" borderId="0" xfId="0" applyFont="1" applyFill="1" applyAlignment="1">
      <alignment vertical="center"/>
    </xf>
    <xf numFmtId="0" fontId="4" fillId="4" borderId="0" xfId="0" applyFont="1" applyFill="1" applyAlignment="1">
      <alignment vertical="center"/>
    </xf>
    <xf numFmtId="0" fontId="4"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vertical="center"/>
    </xf>
    <xf numFmtId="0" fontId="4" fillId="9" borderId="0" xfId="0" applyFont="1" applyFill="1" applyAlignment="1">
      <alignment vertical="center"/>
    </xf>
    <xf numFmtId="0" fontId="3" fillId="10" borderId="0" xfId="0" applyFont="1" applyFill="1" applyAlignment="1">
      <alignment vertical="center"/>
    </xf>
    <xf numFmtId="0" fontId="4" fillId="11" borderId="0" xfId="0" applyFont="1" applyFill="1" applyAlignment="1">
      <alignment vertical="center"/>
    </xf>
    <xf numFmtId="0" fontId="3" fillId="12" borderId="0" xfId="0" applyFont="1" applyFill="1" applyAlignment="1">
      <alignment vertical="center"/>
    </xf>
    <xf numFmtId="0" fontId="3" fillId="13" borderId="0" xfId="0" applyFont="1" applyFill="1" applyAlignment="1">
      <alignment vertical="center"/>
    </xf>
    <xf numFmtId="0" fontId="3" fillId="14" borderId="0" xfId="0" applyFont="1" applyFill="1" applyAlignment="1">
      <alignment vertical="center"/>
    </xf>
    <xf numFmtId="0" fontId="3" fillId="15" borderId="0" xfId="0" applyFont="1" applyFill="1" applyAlignment="1">
      <alignment vertical="center"/>
    </xf>
    <xf numFmtId="0" fontId="3" fillId="16" borderId="0" xfId="0" applyFont="1" applyFill="1" applyAlignment="1">
      <alignment vertical="center"/>
    </xf>
    <xf numFmtId="0" fontId="3" fillId="17" borderId="0" xfId="0" applyFont="1" applyFill="1" applyAlignment="1">
      <alignment vertical="center"/>
    </xf>
    <xf numFmtId="0" fontId="4" fillId="18" borderId="0" xfId="0" applyFont="1" applyFill="1" applyAlignment="1">
      <alignment vertical="center"/>
    </xf>
    <xf numFmtId="0" fontId="3" fillId="19" borderId="0" xfId="0" applyFont="1" applyFill="1" applyAlignment="1">
      <alignment vertical="center"/>
    </xf>
    <xf numFmtId="0" fontId="3" fillId="20" borderId="0" xfId="0" applyFont="1" applyFill="1" applyAlignment="1">
      <alignment vertical="center"/>
    </xf>
    <xf numFmtId="0" fontId="3" fillId="21" borderId="0" xfId="0" applyFont="1" applyFill="1" applyAlignment="1">
      <alignment vertical="center"/>
    </xf>
    <xf numFmtId="0" fontId="3" fillId="22" borderId="0" xfId="0" applyFont="1" applyFill="1" applyAlignment="1">
      <alignment vertical="center"/>
    </xf>
    <xf numFmtId="0" fontId="3" fillId="23" borderId="0" xfId="0" applyFont="1" applyFill="1" applyAlignment="1">
      <alignment vertical="center"/>
    </xf>
    <xf numFmtId="0" fontId="4" fillId="24" borderId="0" xfId="0" applyFont="1" applyFill="1" applyAlignment="1">
      <alignment vertical="center"/>
    </xf>
    <xf numFmtId="0" fontId="4" fillId="25" borderId="0" xfId="0" applyFont="1" applyFill="1" applyAlignment="1">
      <alignment vertical="center"/>
    </xf>
    <xf numFmtId="0" fontId="3" fillId="26" borderId="0" xfId="0" applyFont="1" applyFill="1" applyAlignment="1">
      <alignment vertical="center"/>
    </xf>
    <xf numFmtId="0" fontId="3" fillId="27" borderId="0" xfId="0" applyFont="1" applyFill="1" applyAlignment="1">
      <alignment vertical="center"/>
    </xf>
    <xf numFmtId="0" fontId="4" fillId="28" borderId="0" xfId="0" applyFont="1" applyFill="1" applyAlignment="1">
      <alignment vertical="center"/>
    </xf>
    <xf numFmtId="0" fontId="3" fillId="29" borderId="0" xfId="0" applyFont="1" applyFill="1" applyAlignment="1">
      <alignment vertic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filesTable" displayName="ProfilesTable" ref="A1:P206" totalsRowShown="0">
  <tableColumns count="16">
    <tableColumn id="1" xr3:uid="{00000000-0010-0000-0000-000001000000}" name="colony_id"/>
    <tableColumn id="2" xr3:uid="{00000000-0010-0000-0000-000002000000}" name="colony_number"/>
    <tableColumn id="3" xr3:uid="{00000000-0010-0000-0000-000003000000}" name="coral_species"/>
    <tableColumn id="4" xr3:uid="{00000000-0010-0000-0000-000004000000}" name="bleaching_phenotype"/>
    <tableColumn id="5" xr3:uid="{00000000-0010-0000-0000-000005000000}" name="date"/>
    <tableColumn id="6" xr3:uid="{00000000-0010-0000-0000-000006000000}" name="months_after_bleaching"/>
    <tableColumn id="7" xr3:uid="{00000000-0010-0000-0000-000007000000}" name="ITS2_type_profile"/>
    <tableColumn id="8" xr3:uid="{00000000-0010-0000-0000-000008000000}" name="estimated_profile_proportion"/>
    <tableColumn id="9" xr3:uid="{00000000-0010-0000-0000-000009000000}" name="sample_label"/>
    <tableColumn id="10" xr3:uid="{00000000-0010-0000-0000-00000A000000}" name="sample_id"/>
    <tableColumn id="11" xr3:uid="{00000000-0010-0000-0000-00000B000000}" name="panel"/>
    <tableColumn id="12" xr3:uid="{00000000-0010-0000-0000-00000C000000}" name="figure_group"/>
    <tableColumn id="13" xr3:uid="{00000000-0010-0000-0000-00000D000000}" name="profile_code"/>
    <tableColumn id="14" xr3:uid="{00000000-0010-0000-0000-00000E000000}" name="extraction_note"/>
    <tableColumn id="15" xr3:uid="{00000000-0010-0000-0000-00000F000000}" name="segment_height_px"/>
    <tableColumn id="16" xr3:uid="{00000000-0010-0000-0000-000010000000}" name="total_resolved_height_p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filekeyTable" displayName="ProfilekeyTable" ref="A1:E30" totalsRowShown="0">
  <tableColumns count="5">
    <tableColumn id="1" xr3:uid="{00000000-0010-0000-0100-000001000000}" name="species_code"/>
    <tableColumn id="2" xr3:uid="{00000000-0010-0000-0100-000002000000}" name="coral_species"/>
    <tableColumn id="3" xr3:uid="{00000000-0010-0000-0100-000003000000}" name="profile_code"/>
    <tableColumn id="4" xr3:uid="{00000000-0010-0000-0100-000004000000}" name="ITS2_type_profile"/>
    <tableColumn id="5" xr3:uid="{00000000-0010-0000-0100-000005000000}" name="legend_color_hex"/>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6"/>
  <sheetViews>
    <sheetView showGridLines="0" tabSelected="1" workbookViewId="0">
      <pane ySplit="1" topLeftCell="A2" activePane="bottomLeft" state="frozen"/>
      <selection pane="bottomLeft" activeCell="D149" sqref="D149"/>
    </sheetView>
  </sheetViews>
  <sheetFormatPr baseColWidth="10" defaultColWidth="8.83203125" defaultRowHeight="14"/>
  <cols>
    <col min="1" max="2" width="17" customWidth="1"/>
    <col min="3" max="3" width="28" customWidth="1"/>
    <col min="4" max="4" width="25" customWidth="1"/>
    <col min="5" max="5" width="16" customWidth="1"/>
    <col min="6" max="6" width="24" customWidth="1"/>
    <col min="7" max="7" width="70" customWidth="1"/>
    <col min="8" max="8" width="27" customWidth="1"/>
    <col min="9" max="9" width="19" customWidth="1"/>
    <col min="10" max="10" width="25" customWidth="1"/>
    <col min="11" max="11" width="10" customWidth="1"/>
    <col min="12" max="12" width="17" customWidth="1"/>
    <col min="13" max="13" width="19" customWidth="1"/>
    <col min="14" max="14" width="98" customWidth="1"/>
    <col min="15" max="15" width="22" customWidth="1"/>
    <col min="16" max="16" width="26" customWidth="1"/>
  </cols>
  <sheetData>
    <row r="1" spans="1:16" ht="4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24" customHeight="1">
      <c r="A2" s="1" t="s">
        <v>16</v>
      </c>
      <c r="B2" s="1">
        <v>51</v>
      </c>
      <c r="C2" s="1" t="s">
        <v>17</v>
      </c>
      <c r="D2" s="1" t="s">
        <v>18</v>
      </c>
      <c r="E2" s="1" t="s">
        <v>19</v>
      </c>
      <c r="F2" s="1">
        <v>0</v>
      </c>
      <c r="G2" s="1" t="s">
        <v>20</v>
      </c>
      <c r="H2" s="3">
        <f t="shared" ref="H2:H65" si="0">O2/P2</f>
        <v>1</v>
      </c>
      <c r="I2" s="1" t="s">
        <v>21</v>
      </c>
      <c r="J2" s="1" t="s">
        <v>22</v>
      </c>
      <c r="K2" s="1" t="s">
        <v>23</v>
      </c>
      <c r="L2" s="1" t="s">
        <v>24</v>
      </c>
      <c r="M2" s="1" t="s">
        <v>25</v>
      </c>
      <c r="N2" s="1"/>
      <c r="O2" s="1">
        <v>92</v>
      </c>
      <c r="P2" s="1">
        <v>92</v>
      </c>
    </row>
    <row r="3" spans="1:16" ht="24" customHeight="1">
      <c r="A3" s="1" t="s">
        <v>16</v>
      </c>
      <c r="B3" s="1">
        <v>51</v>
      </c>
      <c r="C3" s="1" t="s">
        <v>17</v>
      </c>
      <c r="D3" s="1" t="s">
        <v>18</v>
      </c>
      <c r="E3" s="1" t="s">
        <v>26</v>
      </c>
      <c r="F3" s="1">
        <v>1</v>
      </c>
      <c r="G3" s="1" t="s">
        <v>20</v>
      </c>
      <c r="H3" s="3">
        <f t="shared" si="0"/>
        <v>1</v>
      </c>
      <c r="I3" s="1" t="s">
        <v>27</v>
      </c>
      <c r="J3" s="1" t="s">
        <v>28</v>
      </c>
      <c r="K3" s="1" t="s">
        <v>23</v>
      </c>
      <c r="L3" s="1" t="s">
        <v>29</v>
      </c>
      <c r="M3" s="1" t="s">
        <v>25</v>
      </c>
      <c r="N3" s="1"/>
      <c r="O3" s="1">
        <v>92</v>
      </c>
      <c r="P3" s="1">
        <v>92</v>
      </c>
    </row>
    <row r="4" spans="1:16" ht="24" customHeight="1">
      <c r="A4" s="1" t="s">
        <v>16</v>
      </c>
      <c r="B4" s="1">
        <v>51</v>
      </c>
      <c r="C4" s="1" t="s">
        <v>17</v>
      </c>
      <c r="D4" s="1" t="s">
        <v>18</v>
      </c>
      <c r="E4" s="1" t="s">
        <v>30</v>
      </c>
      <c r="F4" s="1">
        <v>3</v>
      </c>
      <c r="G4" s="1" t="s">
        <v>20</v>
      </c>
      <c r="H4" s="3">
        <f t="shared" si="0"/>
        <v>1</v>
      </c>
      <c r="I4" s="1" t="s">
        <v>31</v>
      </c>
      <c r="J4" s="1" t="s">
        <v>32</v>
      </c>
      <c r="K4" s="1" t="s">
        <v>23</v>
      </c>
      <c r="L4" s="1" t="s">
        <v>33</v>
      </c>
      <c r="M4" s="1" t="s">
        <v>25</v>
      </c>
      <c r="N4" s="1"/>
      <c r="O4" s="1">
        <v>92</v>
      </c>
      <c r="P4" s="1">
        <v>92</v>
      </c>
    </row>
    <row r="5" spans="1:16" ht="24" customHeight="1">
      <c r="A5" s="1" t="s">
        <v>16</v>
      </c>
      <c r="B5" s="1">
        <v>51</v>
      </c>
      <c r="C5" s="1" t="s">
        <v>17</v>
      </c>
      <c r="D5" s="1" t="s">
        <v>18</v>
      </c>
      <c r="E5" s="1" t="s">
        <v>34</v>
      </c>
      <c r="F5" s="1">
        <v>6</v>
      </c>
      <c r="G5" s="1" t="s">
        <v>20</v>
      </c>
      <c r="H5" s="3">
        <f t="shared" si="0"/>
        <v>1</v>
      </c>
      <c r="I5" s="1" t="s">
        <v>35</v>
      </c>
      <c r="J5" s="1" t="s">
        <v>36</v>
      </c>
      <c r="K5" s="1" t="s">
        <v>23</v>
      </c>
      <c r="L5" s="1" t="s">
        <v>37</v>
      </c>
      <c r="M5" s="1" t="s">
        <v>25</v>
      </c>
      <c r="N5" s="1"/>
      <c r="O5" s="1">
        <v>92</v>
      </c>
      <c r="P5" s="1">
        <v>92</v>
      </c>
    </row>
    <row r="6" spans="1:16" ht="24" customHeight="1">
      <c r="A6" s="1" t="s">
        <v>38</v>
      </c>
      <c r="B6" s="1">
        <v>52</v>
      </c>
      <c r="C6" s="1" t="s">
        <v>17</v>
      </c>
      <c r="D6" s="1" t="s">
        <v>39</v>
      </c>
      <c r="E6" s="1" t="s">
        <v>19</v>
      </c>
      <c r="F6" s="1">
        <v>0</v>
      </c>
      <c r="G6" s="1" t="s">
        <v>20</v>
      </c>
      <c r="H6" s="3">
        <f t="shared" si="0"/>
        <v>0.72527472527472525</v>
      </c>
      <c r="I6" s="1" t="s">
        <v>40</v>
      </c>
      <c r="J6" s="1" t="s">
        <v>41</v>
      </c>
      <c r="K6" s="1" t="s">
        <v>23</v>
      </c>
      <c r="L6" s="1" t="s">
        <v>42</v>
      </c>
      <c r="M6" s="1" t="s">
        <v>25</v>
      </c>
      <c r="N6" s="1"/>
      <c r="O6" s="1">
        <v>66</v>
      </c>
      <c r="P6" s="1">
        <v>91</v>
      </c>
    </row>
    <row r="7" spans="1:16" ht="24" customHeight="1">
      <c r="A7" s="1" t="s">
        <v>38</v>
      </c>
      <c r="B7" s="1">
        <v>52</v>
      </c>
      <c r="C7" s="1" t="s">
        <v>17</v>
      </c>
      <c r="D7" s="1" t="s">
        <v>39</v>
      </c>
      <c r="E7" s="1" t="s">
        <v>19</v>
      </c>
      <c r="F7" s="1">
        <v>0</v>
      </c>
      <c r="G7" s="1" t="s">
        <v>43</v>
      </c>
      <c r="H7" s="3">
        <f t="shared" si="0"/>
        <v>0.27472527472527475</v>
      </c>
      <c r="I7" s="1" t="s">
        <v>40</v>
      </c>
      <c r="J7" s="1" t="s">
        <v>41</v>
      </c>
      <c r="K7" s="1" t="s">
        <v>23</v>
      </c>
      <c r="L7" s="1" t="s">
        <v>42</v>
      </c>
      <c r="M7" s="1" t="s">
        <v>44</v>
      </c>
      <c r="N7" s="1"/>
      <c r="O7" s="1">
        <v>25</v>
      </c>
      <c r="P7" s="1">
        <v>91</v>
      </c>
    </row>
    <row r="8" spans="1:16" ht="24" customHeight="1">
      <c r="A8" s="1" t="s">
        <v>38</v>
      </c>
      <c r="B8" s="1">
        <v>52</v>
      </c>
      <c r="C8" s="1" t="s">
        <v>17</v>
      </c>
      <c r="D8" s="1" t="s">
        <v>39</v>
      </c>
      <c r="E8" s="1" t="s">
        <v>26</v>
      </c>
      <c r="F8" s="1">
        <v>1</v>
      </c>
      <c r="G8" s="1" t="s">
        <v>20</v>
      </c>
      <c r="H8" s="3">
        <f t="shared" si="0"/>
        <v>0.79120879120879117</v>
      </c>
      <c r="I8" s="1" t="s">
        <v>45</v>
      </c>
      <c r="J8" s="1" t="s">
        <v>46</v>
      </c>
      <c r="K8" s="1" t="s">
        <v>23</v>
      </c>
      <c r="L8" s="1" t="s">
        <v>47</v>
      </c>
      <c r="M8" s="1" t="s">
        <v>25</v>
      </c>
      <c r="N8" s="1"/>
      <c r="O8" s="1">
        <v>72</v>
      </c>
      <c r="P8" s="1">
        <v>91</v>
      </c>
    </row>
    <row r="9" spans="1:16" ht="24" customHeight="1">
      <c r="A9" s="1" t="s">
        <v>38</v>
      </c>
      <c r="B9" s="1">
        <v>52</v>
      </c>
      <c r="C9" s="1" t="s">
        <v>17</v>
      </c>
      <c r="D9" s="1" t="s">
        <v>39</v>
      </c>
      <c r="E9" s="1" t="s">
        <v>26</v>
      </c>
      <c r="F9" s="1">
        <v>1</v>
      </c>
      <c r="G9" s="1" t="s">
        <v>43</v>
      </c>
      <c r="H9" s="3">
        <f t="shared" si="0"/>
        <v>0.2087912087912088</v>
      </c>
      <c r="I9" s="1" t="s">
        <v>45</v>
      </c>
      <c r="J9" s="1" t="s">
        <v>46</v>
      </c>
      <c r="K9" s="1" t="s">
        <v>23</v>
      </c>
      <c r="L9" s="1" t="s">
        <v>47</v>
      </c>
      <c r="M9" s="1" t="s">
        <v>44</v>
      </c>
      <c r="N9" s="1"/>
      <c r="O9" s="1">
        <v>19</v>
      </c>
      <c r="P9" s="1">
        <v>91</v>
      </c>
    </row>
    <row r="10" spans="1:16" ht="24" customHeight="1">
      <c r="A10" s="1" t="s">
        <v>38</v>
      </c>
      <c r="B10" s="1">
        <v>52</v>
      </c>
      <c r="C10" s="1" t="s">
        <v>17</v>
      </c>
      <c r="D10" s="1" t="s">
        <v>39</v>
      </c>
      <c r="E10" s="1" t="s">
        <v>30</v>
      </c>
      <c r="F10" s="1">
        <v>3</v>
      </c>
      <c r="G10" s="1" t="s">
        <v>20</v>
      </c>
      <c r="H10" s="3">
        <f t="shared" si="0"/>
        <v>0.5714285714285714</v>
      </c>
      <c r="I10" s="1" t="s">
        <v>48</v>
      </c>
      <c r="J10" s="1" t="s">
        <v>49</v>
      </c>
      <c r="K10" s="1" t="s">
        <v>23</v>
      </c>
      <c r="L10" s="1" t="s">
        <v>50</v>
      </c>
      <c r="M10" s="1" t="s">
        <v>25</v>
      </c>
      <c r="N10" s="1"/>
      <c r="O10" s="1">
        <v>52</v>
      </c>
      <c r="P10" s="1">
        <v>91</v>
      </c>
    </row>
    <row r="11" spans="1:16" ht="24" customHeight="1">
      <c r="A11" s="1" t="s">
        <v>38</v>
      </c>
      <c r="B11" s="1">
        <v>52</v>
      </c>
      <c r="C11" s="1" t="s">
        <v>17</v>
      </c>
      <c r="D11" s="1" t="s">
        <v>39</v>
      </c>
      <c r="E11" s="1" t="s">
        <v>30</v>
      </c>
      <c r="F11" s="1">
        <v>3</v>
      </c>
      <c r="G11" s="1" t="s">
        <v>43</v>
      </c>
      <c r="H11" s="3">
        <f t="shared" si="0"/>
        <v>0.42857142857142855</v>
      </c>
      <c r="I11" s="1" t="s">
        <v>48</v>
      </c>
      <c r="J11" s="1" t="s">
        <v>49</v>
      </c>
      <c r="K11" s="1" t="s">
        <v>23</v>
      </c>
      <c r="L11" s="1" t="s">
        <v>50</v>
      </c>
      <c r="M11" s="1" t="s">
        <v>44</v>
      </c>
      <c r="N11" s="1"/>
      <c r="O11" s="1">
        <v>39</v>
      </c>
      <c r="P11" s="1">
        <v>91</v>
      </c>
    </row>
    <row r="12" spans="1:16" ht="24" customHeight="1">
      <c r="A12" s="1" t="s">
        <v>38</v>
      </c>
      <c r="B12" s="1">
        <v>52</v>
      </c>
      <c r="C12" s="1" t="s">
        <v>17</v>
      </c>
      <c r="D12" s="1" t="s">
        <v>39</v>
      </c>
      <c r="E12" s="1" t="s">
        <v>34</v>
      </c>
      <c r="F12" s="1">
        <v>6</v>
      </c>
      <c r="G12" s="1" t="s">
        <v>20</v>
      </c>
      <c r="H12" s="3">
        <f t="shared" si="0"/>
        <v>0.67032967032967028</v>
      </c>
      <c r="I12" s="1" t="s">
        <v>51</v>
      </c>
      <c r="J12" s="1" t="s">
        <v>52</v>
      </c>
      <c r="K12" s="1" t="s">
        <v>23</v>
      </c>
      <c r="L12" s="1" t="s">
        <v>53</v>
      </c>
      <c r="M12" s="1" t="s">
        <v>25</v>
      </c>
      <c r="N12" s="1"/>
      <c r="O12" s="1">
        <v>61</v>
      </c>
      <c r="P12" s="1">
        <v>91</v>
      </c>
    </row>
    <row r="13" spans="1:16" ht="24" customHeight="1">
      <c r="A13" s="1" t="s">
        <v>38</v>
      </c>
      <c r="B13" s="1">
        <v>52</v>
      </c>
      <c r="C13" s="1" t="s">
        <v>17</v>
      </c>
      <c r="D13" s="1" t="s">
        <v>39</v>
      </c>
      <c r="E13" s="1" t="s">
        <v>34</v>
      </c>
      <c r="F13" s="1">
        <v>6</v>
      </c>
      <c r="G13" s="1" t="s">
        <v>43</v>
      </c>
      <c r="H13" s="3">
        <f t="shared" si="0"/>
        <v>0.32967032967032966</v>
      </c>
      <c r="I13" s="1" t="s">
        <v>51</v>
      </c>
      <c r="J13" s="1" t="s">
        <v>52</v>
      </c>
      <c r="K13" s="1" t="s">
        <v>23</v>
      </c>
      <c r="L13" s="1" t="s">
        <v>53</v>
      </c>
      <c r="M13" s="1" t="s">
        <v>44</v>
      </c>
      <c r="N13" s="1"/>
      <c r="O13" s="1">
        <v>30</v>
      </c>
      <c r="P13" s="1">
        <v>91</v>
      </c>
    </row>
    <row r="14" spans="1:16" ht="24" customHeight="1">
      <c r="A14" s="1" t="s">
        <v>54</v>
      </c>
      <c r="B14" s="1">
        <v>53</v>
      </c>
      <c r="C14" s="1" t="s">
        <v>17</v>
      </c>
      <c r="D14" s="1" t="s">
        <v>18</v>
      </c>
      <c r="E14" s="1" t="s">
        <v>19</v>
      </c>
      <c r="F14" s="1">
        <v>0</v>
      </c>
      <c r="G14" s="1" t="s">
        <v>20</v>
      </c>
      <c r="H14" s="3">
        <f t="shared" si="0"/>
        <v>1</v>
      </c>
      <c r="I14" s="1" t="s">
        <v>55</v>
      </c>
      <c r="J14" s="1" t="s">
        <v>56</v>
      </c>
      <c r="K14" s="1" t="s">
        <v>23</v>
      </c>
      <c r="L14" s="1" t="s">
        <v>24</v>
      </c>
      <c r="M14" s="1" t="s">
        <v>25</v>
      </c>
      <c r="N14" s="1"/>
      <c r="O14" s="1">
        <v>92</v>
      </c>
      <c r="P14" s="1">
        <v>92</v>
      </c>
    </row>
    <row r="15" spans="1:16" ht="24" customHeight="1">
      <c r="A15" s="1" t="s">
        <v>54</v>
      </c>
      <c r="B15" s="1">
        <v>53</v>
      </c>
      <c r="C15" s="1" t="s">
        <v>17</v>
      </c>
      <c r="D15" s="1" t="s">
        <v>18</v>
      </c>
      <c r="E15" s="1" t="s">
        <v>26</v>
      </c>
      <c r="F15" s="1">
        <v>1</v>
      </c>
      <c r="G15" s="1" t="s">
        <v>20</v>
      </c>
      <c r="H15" s="3">
        <f t="shared" si="0"/>
        <v>1</v>
      </c>
      <c r="I15" s="1" t="s">
        <v>57</v>
      </c>
      <c r="J15" s="1" t="s">
        <v>58</v>
      </c>
      <c r="K15" s="1" t="s">
        <v>23</v>
      </c>
      <c r="L15" s="1" t="s">
        <v>29</v>
      </c>
      <c r="M15" s="1" t="s">
        <v>25</v>
      </c>
      <c r="N15" s="1"/>
      <c r="O15" s="1">
        <v>92</v>
      </c>
      <c r="P15" s="1">
        <v>92</v>
      </c>
    </row>
    <row r="16" spans="1:16" ht="24" customHeight="1">
      <c r="A16" s="1" t="s">
        <v>54</v>
      </c>
      <c r="B16" s="1">
        <v>53</v>
      </c>
      <c r="C16" s="1" t="s">
        <v>17</v>
      </c>
      <c r="D16" s="1" t="s">
        <v>18</v>
      </c>
      <c r="E16" s="1" t="s">
        <v>30</v>
      </c>
      <c r="F16" s="1">
        <v>3</v>
      </c>
      <c r="G16" s="1" t="s">
        <v>59</v>
      </c>
      <c r="H16" s="3">
        <f t="shared" si="0"/>
        <v>1</v>
      </c>
      <c r="I16" s="1" t="s">
        <v>60</v>
      </c>
      <c r="J16" s="1" t="s">
        <v>61</v>
      </c>
      <c r="K16" s="1" t="s">
        <v>23</v>
      </c>
      <c r="L16" s="1" t="s">
        <v>33</v>
      </c>
      <c r="M16" s="1" t="s">
        <v>62</v>
      </c>
      <c r="N16" s="1"/>
      <c r="O16" s="1">
        <v>92</v>
      </c>
      <c r="P16" s="1">
        <v>92</v>
      </c>
    </row>
    <row r="17" spans="1:16" ht="24" customHeight="1">
      <c r="A17" s="1" t="s">
        <v>54</v>
      </c>
      <c r="B17" s="1">
        <v>53</v>
      </c>
      <c r="C17" s="1" t="s">
        <v>17</v>
      </c>
      <c r="D17" s="1" t="s">
        <v>18</v>
      </c>
      <c r="E17" s="1" t="s">
        <v>34</v>
      </c>
      <c r="F17" s="1">
        <v>6</v>
      </c>
      <c r="G17" s="1" t="s">
        <v>63</v>
      </c>
      <c r="H17" s="3">
        <f t="shared" si="0"/>
        <v>1</v>
      </c>
      <c r="I17" s="1" t="s">
        <v>64</v>
      </c>
      <c r="J17" s="1" t="s">
        <v>65</v>
      </c>
      <c r="K17" s="1" t="s">
        <v>23</v>
      </c>
      <c r="L17" s="1" t="s">
        <v>37</v>
      </c>
      <c r="M17" s="1" t="s">
        <v>66</v>
      </c>
      <c r="N17" s="1"/>
      <c r="O17" s="1">
        <v>92</v>
      </c>
      <c r="P17" s="1">
        <v>92</v>
      </c>
    </row>
    <row r="18" spans="1:16" ht="24" customHeight="1">
      <c r="A18" s="1" t="s">
        <v>67</v>
      </c>
      <c r="B18" s="1">
        <v>54</v>
      </c>
      <c r="C18" s="1" t="s">
        <v>17</v>
      </c>
      <c r="D18" s="1" t="s">
        <v>39</v>
      </c>
      <c r="E18" s="1" t="s">
        <v>19</v>
      </c>
      <c r="F18" s="1">
        <v>0</v>
      </c>
      <c r="G18" s="1" t="s">
        <v>68</v>
      </c>
      <c r="H18" s="3">
        <f t="shared" si="0"/>
        <v>1</v>
      </c>
      <c r="I18" s="1" t="s">
        <v>69</v>
      </c>
      <c r="J18" s="1" t="s">
        <v>70</v>
      </c>
      <c r="K18" s="1" t="s">
        <v>23</v>
      </c>
      <c r="L18" s="1" t="s">
        <v>42</v>
      </c>
      <c r="M18" s="1" t="s">
        <v>71</v>
      </c>
      <c r="N18" s="1"/>
      <c r="O18" s="1">
        <v>92</v>
      </c>
      <c r="P18" s="1">
        <v>92</v>
      </c>
    </row>
    <row r="19" spans="1:16" ht="24" customHeight="1">
      <c r="A19" s="1" t="s">
        <v>67</v>
      </c>
      <c r="B19" s="1">
        <v>54</v>
      </c>
      <c r="C19" s="1" t="s">
        <v>17</v>
      </c>
      <c r="D19" s="1" t="s">
        <v>39</v>
      </c>
      <c r="E19" s="1" t="s">
        <v>26</v>
      </c>
      <c r="F19" s="1">
        <v>1</v>
      </c>
      <c r="G19" s="1" t="s">
        <v>68</v>
      </c>
      <c r="H19" s="3">
        <f t="shared" si="0"/>
        <v>1</v>
      </c>
      <c r="I19" s="1" t="s">
        <v>72</v>
      </c>
      <c r="J19" s="1" t="s">
        <v>73</v>
      </c>
      <c r="K19" s="1" t="s">
        <v>23</v>
      </c>
      <c r="L19" s="1" t="s">
        <v>47</v>
      </c>
      <c r="M19" s="1" t="s">
        <v>71</v>
      </c>
      <c r="N19" s="1"/>
      <c r="O19" s="1">
        <v>92</v>
      </c>
      <c r="P19" s="1">
        <v>92</v>
      </c>
    </row>
    <row r="20" spans="1:16" ht="24" customHeight="1">
      <c r="A20" s="1" t="s">
        <v>67</v>
      </c>
      <c r="B20" s="1">
        <v>54</v>
      </c>
      <c r="C20" s="1" t="s">
        <v>17</v>
      </c>
      <c r="D20" s="1" t="s">
        <v>39</v>
      </c>
      <c r="E20" s="1" t="s">
        <v>30</v>
      </c>
      <c r="F20" s="1">
        <v>3</v>
      </c>
      <c r="G20" s="1" t="s">
        <v>68</v>
      </c>
      <c r="H20" s="3">
        <f t="shared" si="0"/>
        <v>1</v>
      </c>
      <c r="I20" s="1" t="s">
        <v>74</v>
      </c>
      <c r="J20" s="1" t="s">
        <v>75</v>
      </c>
      <c r="K20" s="1" t="s">
        <v>23</v>
      </c>
      <c r="L20" s="1" t="s">
        <v>50</v>
      </c>
      <c r="M20" s="1" t="s">
        <v>71</v>
      </c>
      <c r="N20" s="1"/>
      <c r="O20" s="1">
        <v>92</v>
      </c>
      <c r="P20" s="1">
        <v>92</v>
      </c>
    </row>
    <row r="21" spans="1:16" ht="24" customHeight="1">
      <c r="A21" s="1" t="s">
        <v>67</v>
      </c>
      <c r="B21" s="1">
        <v>54</v>
      </c>
      <c r="C21" s="1" t="s">
        <v>17</v>
      </c>
      <c r="D21" s="1" t="s">
        <v>39</v>
      </c>
      <c r="E21" s="1" t="s">
        <v>34</v>
      </c>
      <c r="F21" s="1">
        <v>6</v>
      </c>
      <c r="G21" s="1" t="s">
        <v>68</v>
      </c>
      <c r="H21" s="3">
        <f t="shared" si="0"/>
        <v>1</v>
      </c>
      <c r="I21" s="1" t="s">
        <v>76</v>
      </c>
      <c r="J21" s="1" t="s">
        <v>77</v>
      </c>
      <c r="K21" s="1" t="s">
        <v>23</v>
      </c>
      <c r="L21" s="1" t="s">
        <v>53</v>
      </c>
      <c r="M21" s="1" t="s">
        <v>71</v>
      </c>
      <c r="N21" s="1"/>
      <c r="O21" s="1">
        <v>92</v>
      </c>
      <c r="P21" s="1">
        <v>92</v>
      </c>
    </row>
    <row r="22" spans="1:16" ht="24" customHeight="1">
      <c r="A22" s="1" t="s">
        <v>78</v>
      </c>
      <c r="B22" s="1">
        <v>57</v>
      </c>
      <c r="C22" s="1" t="s">
        <v>17</v>
      </c>
      <c r="D22" s="1" t="s">
        <v>18</v>
      </c>
      <c r="E22" s="1" t="s">
        <v>19</v>
      </c>
      <c r="F22" s="1">
        <v>0</v>
      </c>
      <c r="G22" s="1" t="s">
        <v>20</v>
      </c>
      <c r="H22" s="3">
        <f t="shared" si="0"/>
        <v>1</v>
      </c>
      <c r="I22" s="1" t="s">
        <v>79</v>
      </c>
      <c r="J22" s="1" t="s">
        <v>80</v>
      </c>
      <c r="K22" s="1" t="s">
        <v>23</v>
      </c>
      <c r="L22" s="1" t="s">
        <v>24</v>
      </c>
      <c r="M22" s="1" t="s">
        <v>25</v>
      </c>
      <c r="N22" s="1"/>
      <c r="O22" s="1">
        <v>92</v>
      </c>
      <c r="P22" s="1">
        <v>92</v>
      </c>
    </row>
    <row r="23" spans="1:16" ht="24" customHeight="1">
      <c r="A23" s="1" t="s">
        <v>78</v>
      </c>
      <c r="B23" s="1">
        <v>57</v>
      </c>
      <c r="C23" s="1" t="s">
        <v>17</v>
      </c>
      <c r="D23" s="1" t="s">
        <v>18</v>
      </c>
      <c r="E23" s="1" t="s">
        <v>26</v>
      </c>
      <c r="F23" s="1">
        <v>1</v>
      </c>
      <c r="G23" s="1" t="s">
        <v>20</v>
      </c>
      <c r="H23" s="3">
        <f t="shared" si="0"/>
        <v>1</v>
      </c>
      <c r="I23" s="1" t="s">
        <v>81</v>
      </c>
      <c r="J23" s="1" t="s">
        <v>82</v>
      </c>
      <c r="K23" s="1" t="s">
        <v>23</v>
      </c>
      <c r="L23" s="1" t="s">
        <v>29</v>
      </c>
      <c r="M23" s="1" t="s">
        <v>25</v>
      </c>
      <c r="N23" s="1"/>
      <c r="O23" s="1">
        <v>92</v>
      </c>
      <c r="P23" s="1">
        <v>92</v>
      </c>
    </row>
    <row r="24" spans="1:16" ht="24" customHeight="1">
      <c r="A24" s="1" t="s">
        <v>78</v>
      </c>
      <c r="B24" s="1">
        <v>57</v>
      </c>
      <c r="C24" s="1" t="s">
        <v>17</v>
      </c>
      <c r="D24" s="1" t="s">
        <v>18</v>
      </c>
      <c r="E24" s="1" t="s">
        <v>30</v>
      </c>
      <c r="F24" s="1">
        <v>3</v>
      </c>
      <c r="G24" s="1" t="s">
        <v>20</v>
      </c>
      <c r="H24" s="3">
        <f t="shared" si="0"/>
        <v>1</v>
      </c>
      <c r="I24" s="1" t="s">
        <v>83</v>
      </c>
      <c r="J24" s="1" t="s">
        <v>84</v>
      </c>
      <c r="K24" s="1" t="s">
        <v>23</v>
      </c>
      <c r="L24" s="1" t="s">
        <v>33</v>
      </c>
      <c r="M24" s="1" t="s">
        <v>25</v>
      </c>
      <c r="N24" s="1"/>
      <c r="O24" s="1">
        <v>92</v>
      </c>
      <c r="P24" s="1">
        <v>92</v>
      </c>
    </row>
    <row r="25" spans="1:16" ht="24" customHeight="1">
      <c r="A25" s="1" t="s">
        <v>78</v>
      </c>
      <c r="B25" s="1">
        <v>57</v>
      </c>
      <c r="C25" s="1" t="s">
        <v>17</v>
      </c>
      <c r="D25" s="1" t="s">
        <v>18</v>
      </c>
      <c r="E25" s="1" t="s">
        <v>34</v>
      </c>
      <c r="F25" s="1">
        <v>6</v>
      </c>
      <c r="G25" s="1" t="s">
        <v>20</v>
      </c>
      <c r="H25" s="3">
        <f t="shared" si="0"/>
        <v>1</v>
      </c>
      <c r="I25" s="1" t="s">
        <v>85</v>
      </c>
      <c r="J25" s="1" t="s">
        <v>86</v>
      </c>
      <c r="K25" s="1" t="s">
        <v>23</v>
      </c>
      <c r="L25" s="1" t="s">
        <v>37</v>
      </c>
      <c r="M25" s="1" t="s">
        <v>25</v>
      </c>
      <c r="N25" s="1"/>
      <c r="O25" s="1">
        <v>92</v>
      </c>
      <c r="P25" s="1">
        <v>92</v>
      </c>
    </row>
    <row r="26" spans="1:16" ht="24" customHeight="1">
      <c r="A26" s="1" t="s">
        <v>87</v>
      </c>
      <c r="B26" s="1">
        <v>58</v>
      </c>
      <c r="C26" s="1" t="s">
        <v>17</v>
      </c>
      <c r="D26" s="1" t="s">
        <v>39</v>
      </c>
      <c r="E26" s="1" t="s">
        <v>19</v>
      </c>
      <c r="F26" s="1">
        <v>0</v>
      </c>
      <c r="G26" s="1" t="s">
        <v>88</v>
      </c>
      <c r="H26" s="3">
        <f t="shared" si="0"/>
        <v>0.65934065934065933</v>
      </c>
      <c r="I26" s="1" t="s">
        <v>89</v>
      </c>
      <c r="J26" s="1" t="s">
        <v>90</v>
      </c>
      <c r="K26" s="1" t="s">
        <v>23</v>
      </c>
      <c r="L26" s="1" t="s">
        <v>42</v>
      </c>
      <c r="M26" s="1" t="s">
        <v>91</v>
      </c>
      <c r="N26" s="1"/>
      <c r="O26" s="1">
        <v>60</v>
      </c>
      <c r="P26" s="1">
        <v>91</v>
      </c>
    </row>
    <row r="27" spans="1:16" ht="24" customHeight="1">
      <c r="A27" s="1" t="s">
        <v>87</v>
      </c>
      <c r="B27" s="1">
        <v>58</v>
      </c>
      <c r="C27" s="1" t="s">
        <v>17</v>
      </c>
      <c r="D27" s="1" t="s">
        <v>39</v>
      </c>
      <c r="E27" s="1" t="s">
        <v>19</v>
      </c>
      <c r="F27" s="1">
        <v>0</v>
      </c>
      <c r="G27" s="1" t="s">
        <v>20</v>
      </c>
      <c r="H27" s="3">
        <f t="shared" si="0"/>
        <v>0.34065934065934067</v>
      </c>
      <c r="I27" s="1" t="s">
        <v>89</v>
      </c>
      <c r="J27" s="1" t="s">
        <v>90</v>
      </c>
      <c r="K27" s="1" t="s">
        <v>23</v>
      </c>
      <c r="L27" s="1" t="s">
        <v>42</v>
      </c>
      <c r="M27" s="1" t="s">
        <v>25</v>
      </c>
      <c r="N27" s="1"/>
      <c r="O27" s="1">
        <v>31</v>
      </c>
      <c r="P27" s="1">
        <v>91</v>
      </c>
    </row>
    <row r="28" spans="1:16" ht="24" customHeight="1">
      <c r="A28" s="1" t="s">
        <v>87</v>
      </c>
      <c r="B28" s="1">
        <v>58</v>
      </c>
      <c r="C28" s="1" t="s">
        <v>17</v>
      </c>
      <c r="D28" s="1" t="s">
        <v>39</v>
      </c>
      <c r="E28" s="1" t="s">
        <v>26</v>
      </c>
      <c r="F28" s="1">
        <v>1</v>
      </c>
      <c r="G28" s="1" t="s">
        <v>88</v>
      </c>
      <c r="H28" s="3">
        <f t="shared" si="0"/>
        <v>0.78021978021978022</v>
      </c>
      <c r="I28" s="1" t="s">
        <v>92</v>
      </c>
      <c r="J28" s="1" t="s">
        <v>93</v>
      </c>
      <c r="K28" s="1" t="s">
        <v>23</v>
      </c>
      <c r="L28" s="1" t="s">
        <v>47</v>
      </c>
      <c r="M28" s="1" t="s">
        <v>91</v>
      </c>
      <c r="N28" s="1"/>
      <c r="O28" s="1">
        <v>71</v>
      </c>
      <c r="P28" s="1">
        <v>91</v>
      </c>
    </row>
    <row r="29" spans="1:16" ht="24" customHeight="1">
      <c r="A29" s="1" t="s">
        <v>87</v>
      </c>
      <c r="B29" s="1">
        <v>58</v>
      </c>
      <c r="C29" s="1" t="s">
        <v>17</v>
      </c>
      <c r="D29" s="1" t="s">
        <v>39</v>
      </c>
      <c r="E29" s="1" t="s">
        <v>26</v>
      </c>
      <c r="F29" s="1">
        <v>1</v>
      </c>
      <c r="G29" s="1" t="s">
        <v>63</v>
      </c>
      <c r="H29" s="3">
        <f t="shared" si="0"/>
        <v>0.21978021978021978</v>
      </c>
      <c r="I29" s="1" t="s">
        <v>92</v>
      </c>
      <c r="J29" s="1" t="s">
        <v>93</v>
      </c>
      <c r="K29" s="1" t="s">
        <v>23</v>
      </c>
      <c r="L29" s="1" t="s">
        <v>47</v>
      </c>
      <c r="M29" s="1" t="s">
        <v>66</v>
      </c>
      <c r="N29" s="1"/>
      <c r="O29" s="1">
        <v>20</v>
      </c>
      <c r="P29" s="1">
        <v>91</v>
      </c>
    </row>
    <row r="30" spans="1:16" ht="24" customHeight="1">
      <c r="A30" s="1" t="s">
        <v>87</v>
      </c>
      <c r="B30" s="1">
        <v>58</v>
      </c>
      <c r="C30" s="1" t="s">
        <v>17</v>
      </c>
      <c r="D30" s="1" t="s">
        <v>39</v>
      </c>
      <c r="E30" s="1" t="s">
        <v>30</v>
      </c>
      <c r="F30" s="1">
        <v>3</v>
      </c>
      <c r="G30" s="1" t="s">
        <v>88</v>
      </c>
      <c r="H30" s="3">
        <f t="shared" si="0"/>
        <v>0.56043956043956045</v>
      </c>
      <c r="I30" s="1" t="s">
        <v>94</v>
      </c>
      <c r="J30" s="1" t="s">
        <v>95</v>
      </c>
      <c r="K30" s="1" t="s">
        <v>23</v>
      </c>
      <c r="L30" s="1" t="s">
        <v>50</v>
      </c>
      <c r="M30" s="1" t="s">
        <v>91</v>
      </c>
      <c r="N30" s="1"/>
      <c r="O30" s="1">
        <v>51</v>
      </c>
      <c r="P30" s="1">
        <v>91</v>
      </c>
    </row>
    <row r="31" spans="1:16" ht="24" customHeight="1">
      <c r="A31" s="1" t="s">
        <v>87</v>
      </c>
      <c r="B31" s="1">
        <v>58</v>
      </c>
      <c r="C31" s="1" t="s">
        <v>17</v>
      </c>
      <c r="D31" s="1" t="s">
        <v>39</v>
      </c>
      <c r="E31" s="1" t="s">
        <v>30</v>
      </c>
      <c r="F31" s="1">
        <v>3</v>
      </c>
      <c r="G31" s="1" t="s">
        <v>59</v>
      </c>
      <c r="H31" s="3">
        <f t="shared" si="0"/>
        <v>0.43956043956043955</v>
      </c>
      <c r="I31" s="1" t="s">
        <v>94</v>
      </c>
      <c r="J31" s="1" t="s">
        <v>95</v>
      </c>
      <c r="K31" s="1" t="s">
        <v>23</v>
      </c>
      <c r="L31" s="1" t="s">
        <v>50</v>
      </c>
      <c r="M31" s="1" t="s">
        <v>62</v>
      </c>
      <c r="N31" s="1"/>
      <c r="O31" s="1">
        <v>40</v>
      </c>
      <c r="P31" s="1">
        <v>91</v>
      </c>
    </row>
    <row r="32" spans="1:16" ht="24" customHeight="1">
      <c r="A32" s="1" t="s">
        <v>87</v>
      </c>
      <c r="B32" s="1">
        <v>58</v>
      </c>
      <c r="C32" s="1" t="s">
        <v>17</v>
      </c>
      <c r="D32" s="1" t="s">
        <v>39</v>
      </c>
      <c r="E32" s="1" t="s">
        <v>34</v>
      </c>
      <c r="F32" s="1">
        <v>6</v>
      </c>
      <c r="G32" s="1" t="s">
        <v>59</v>
      </c>
      <c r="H32" s="3">
        <f t="shared" si="0"/>
        <v>0.60869565217391308</v>
      </c>
      <c r="I32" s="1" t="s">
        <v>96</v>
      </c>
      <c r="J32" s="1" t="s">
        <v>97</v>
      </c>
      <c r="K32" s="1" t="s">
        <v>23</v>
      </c>
      <c r="L32" s="1" t="s">
        <v>53</v>
      </c>
      <c r="M32" s="1" t="s">
        <v>62</v>
      </c>
      <c r="N32" s="1"/>
      <c r="O32" s="1">
        <v>56</v>
      </c>
      <c r="P32" s="1">
        <v>92</v>
      </c>
    </row>
    <row r="33" spans="1:16" ht="24" customHeight="1">
      <c r="A33" s="1" t="s">
        <v>87</v>
      </c>
      <c r="B33" s="1">
        <v>58</v>
      </c>
      <c r="C33" s="1" t="s">
        <v>17</v>
      </c>
      <c r="D33" s="1" t="s">
        <v>39</v>
      </c>
      <c r="E33" s="1" t="s">
        <v>34</v>
      </c>
      <c r="F33" s="1">
        <v>6</v>
      </c>
      <c r="G33" s="1" t="s">
        <v>43</v>
      </c>
      <c r="H33" s="3">
        <f t="shared" si="0"/>
        <v>0.39130434782608697</v>
      </c>
      <c r="I33" s="1" t="s">
        <v>96</v>
      </c>
      <c r="J33" s="1" t="s">
        <v>97</v>
      </c>
      <c r="K33" s="1" t="s">
        <v>23</v>
      </c>
      <c r="L33" s="1" t="s">
        <v>53</v>
      </c>
      <c r="M33" s="1" t="s">
        <v>44</v>
      </c>
      <c r="N33" s="1"/>
      <c r="O33" s="1">
        <v>36</v>
      </c>
      <c r="P33" s="1">
        <v>92</v>
      </c>
    </row>
    <row r="34" spans="1:16" ht="24" customHeight="1">
      <c r="A34" s="1" t="s">
        <v>98</v>
      </c>
      <c r="B34" s="1">
        <v>65</v>
      </c>
      <c r="C34" s="1" t="s">
        <v>17</v>
      </c>
      <c r="D34" s="1" t="s">
        <v>18</v>
      </c>
      <c r="E34" s="1" t="s">
        <v>19</v>
      </c>
      <c r="F34" s="1">
        <v>0</v>
      </c>
      <c r="G34" s="1" t="s">
        <v>68</v>
      </c>
      <c r="H34" s="3">
        <f t="shared" si="0"/>
        <v>1</v>
      </c>
      <c r="I34" s="1" t="s">
        <v>99</v>
      </c>
      <c r="J34" s="1" t="s">
        <v>100</v>
      </c>
      <c r="K34" s="1" t="s">
        <v>23</v>
      </c>
      <c r="L34" s="1" t="s">
        <v>24</v>
      </c>
      <c r="M34" s="1" t="s">
        <v>71</v>
      </c>
      <c r="N34" s="1"/>
      <c r="O34" s="1">
        <v>92</v>
      </c>
      <c r="P34" s="1">
        <v>92</v>
      </c>
    </row>
    <row r="35" spans="1:16" ht="24" customHeight="1">
      <c r="A35" s="1" t="s">
        <v>98</v>
      </c>
      <c r="B35" s="1">
        <v>65</v>
      </c>
      <c r="C35" s="1" t="s">
        <v>17</v>
      </c>
      <c r="D35" s="1" t="s">
        <v>18</v>
      </c>
      <c r="E35" s="1" t="s">
        <v>26</v>
      </c>
      <c r="F35" s="1">
        <v>1</v>
      </c>
      <c r="G35" s="1" t="s">
        <v>68</v>
      </c>
      <c r="H35" s="3">
        <f t="shared" si="0"/>
        <v>1</v>
      </c>
      <c r="I35" s="1" t="s">
        <v>101</v>
      </c>
      <c r="J35" s="1" t="s">
        <v>102</v>
      </c>
      <c r="K35" s="1" t="s">
        <v>23</v>
      </c>
      <c r="L35" s="1" t="s">
        <v>29</v>
      </c>
      <c r="M35" s="1" t="s">
        <v>71</v>
      </c>
      <c r="N35" s="1"/>
      <c r="O35" s="1">
        <v>92</v>
      </c>
      <c r="P35" s="1">
        <v>92</v>
      </c>
    </row>
    <row r="36" spans="1:16" ht="24" customHeight="1">
      <c r="A36" s="1" t="s">
        <v>98</v>
      </c>
      <c r="B36" s="1">
        <v>65</v>
      </c>
      <c r="C36" s="1" t="s">
        <v>17</v>
      </c>
      <c r="D36" s="1" t="s">
        <v>18</v>
      </c>
      <c r="E36" s="1" t="s">
        <v>30</v>
      </c>
      <c r="F36" s="1">
        <v>3</v>
      </c>
      <c r="G36" s="1" t="s">
        <v>68</v>
      </c>
      <c r="H36" s="3">
        <f t="shared" si="0"/>
        <v>1</v>
      </c>
      <c r="I36" s="1" t="s">
        <v>103</v>
      </c>
      <c r="J36" s="1" t="s">
        <v>104</v>
      </c>
      <c r="K36" s="1" t="s">
        <v>23</v>
      </c>
      <c r="L36" s="1" t="s">
        <v>33</v>
      </c>
      <c r="M36" s="1" t="s">
        <v>71</v>
      </c>
      <c r="N36" s="1"/>
      <c r="O36" s="1">
        <v>92</v>
      </c>
      <c r="P36" s="1">
        <v>92</v>
      </c>
    </row>
    <row r="37" spans="1:16" ht="24" customHeight="1">
      <c r="A37" s="1" t="s">
        <v>98</v>
      </c>
      <c r="B37" s="1">
        <v>65</v>
      </c>
      <c r="C37" s="1" t="s">
        <v>17</v>
      </c>
      <c r="D37" s="1" t="s">
        <v>18</v>
      </c>
      <c r="E37" s="1" t="s">
        <v>34</v>
      </c>
      <c r="F37" s="1">
        <v>6</v>
      </c>
      <c r="G37" s="1" t="s">
        <v>68</v>
      </c>
      <c r="H37" s="3">
        <f t="shared" si="0"/>
        <v>1</v>
      </c>
      <c r="I37" s="1" t="s">
        <v>105</v>
      </c>
      <c r="J37" s="1" t="s">
        <v>106</v>
      </c>
      <c r="K37" s="1" t="s">
        <v>23</v>
      </c>
      <c r="L37" s="1" t="s">
        <v>37</v>
      </c>
      <c r="M37" s="1" t="s">
        <v>71</v>
      </c>
      <c r="N37" s="1"/>
      <c r="O37" s="1">
        <v>92</v>
      </c>
      <c r="P37" s="1">
        <v>92</v>
      </c>
    </row>
    <row r="38" spans="1:16" ht="24" customHeight="1">
      <c r="A38" s="1" t="s">
        <v>107</v>
      </c>
      <c r="B38" s="1">
        <v>66</v>
      </c>
      <c r="C38" s="1" t="s">
        <v>17</v>
      </c>
      <c r="D38" s="1" t="s">
        <v>39</v>
      </c>
      <c r="E38" s="1" t="s">
        <v>19</v>
      </c>
      <c r="F38" s="1">
        <v>0</v>
      </c>
      <c r="G38" s="1" t="s">
        <v>108</v>
      </c>
      <c r="H38" s="3">
        <f t="shared" si="0"/>
        <v>1</v>
      </c>
      <c r="I38" s="1" t="s">
        <v>109</v>
      </c>
      <c r="J38" s="1" t="s">
        <v>110</v>
      </c>
      <c r="K38" s="1" t="s">
        <v>23</v>
      </c>
      <c r="L38" s="1" t="s">
        <v>42</v>
      </c>
      <c r="M38" s="1" t="s">
        <v>111</v>
      </c>
      <c r="N38" s="1"/>
      <c r="O38" s="1">
        <v>92</v>
      </c>
      <c r="P38" s="1">
        <v>92</v>
      </c>
    </row>
    <row r="39" spans="1:16" ht="24" customHeight="1">
      <c r="A39" s="1" t="s">
        <v>107</v>
      </c>
      <c r="B39" s="1">
        <v>66</v>
      </c>
      <c r="C39" s="1" t="s">
        <v>17</v>
      </c>
      <c r="D39" s="1" t="s">
        <v>39</v>
      </c>
      <c r="E39" s="1" t="s">
        <v>26</v>
      </c>
      <c r="F39" s="1">
        <v>1</v>
      </c>
      <c r="G39" s="1" t="s">
        <v>108</v>
      </c>
      <c r="H39" s="3">
        <f t="shared" si="0"/>
        <v>1</v>
      </c>
      <c r="I39" s="1" t="s">
        <v>112</v>
      </c>
      <c r="J39" s="1" t="s">
        <v>113</v>
      </c>
      <c r="K39" s="1" t="s">
        <v>23</v>
      </c>
      <c r="L39" s="1" t="s">
        <v>47</v>
      </c>
      <c r="M39" s="1" t="s">
        <v>111</v>
      </c>
      <c r="N39" s="1"/>
      <c r="O39" s="1">
        <v>92</v>
      </c>
      <c r="P39" s="1">
        <v>92</v>
      </c>
    </row>
    <row r="40" spans="1:16" ht="24" customHeight="1">
      <c r="A40" s="1" t="s">
        <v>107</v>
      </c>
      <c r="B40" s="1">
        <v>66</v>
      </c>
      <c r="C40" s="1" t="s">
        <v>17</v>
      </c>
      <c r="D40" s="1" t="s">
        <v>39</v>
      </c>
      <c r="E40" s="1" t="s">
        <v>30</v>
      </c>
      <c r="F40" s="1">
        <v>3</v>
      </c>
      <c r="G40" s="1" t="s">
        <v>108</v>
      </c>
      <c r="H40" s="3">
        <f t="shared" si="0"/>
        <v>1</v>
      </c>
      <c r="I40" s="1" t="s">
        <v>114</v>
      </c>
      <c r="J40" s="1" t="s">
        <v>115</v>
      </c>
      <c r="K40" s="1" t="s">
        <v>23</v>
      </c>
      <c r="L40" s="1" t="s">
        <v>50</v>
      </c>
      <c r="M40" s="1" t="s">
        <v>111</v>
      </c>
      <c r="N40" s="1"/>
      <c r="O40" s="1">
        <v>92</v>
      </c>
      <c r="P40" s="1">
        <v>92</v>
      </c>
    </row>
    <row r="41" spans="1:16" ht="24" customHeight="1">
      <c r="A41" s="1" t="s">
        <v>107</v>
      </c>
      <c r="B41" s="1">
        <v>66</v>
      </c>
      <c r="C41" s="1" t="s">
        <v>17</v>
      </c>
      <c r="D41" s="1" t="s">
        <v>39</v>
      </c>
      <c r="E41" s="1" t="s">
        <v>34</v>
      </c>
      <c r="F41" s="1">
        <v>6</v>
      </c>
      <c r="G41" s="1" t="s">
        <v>108</v>
      </c>
      <c r="H41" s="3">
        <f t="shared" si="0"/>
        <v>1</v>
      </c>
      <c r="I41" s="1" t="s">
        <v>116</v>
      </c>
      <c r="J41" s="1" t="s">
        <v>117</v>
      </c>
      <c r="K41" s="1" t="s">
        <v>23</v>
      </c>
      <c r="L41" s="1" t="s">
        <v>53</v>
      </c>
      <c r="M41" s="1" t="s">
        <v>111</v>
      </c>
      <c r="N41" s="1"/>
      <c r="O41" s="1">
        <v>92</v>
      </c>
      <c r="P41" s="1">
        <v>92</v>
      </c>
    </row>
    <row r="42" spans="1:16" ht="24" customHeight="1">
      <c r="A42" s="1" t="s">
        <v>118</v>
      </c>
      <c r="B42" s="1">
        <v>69</v>
      </c>
      <c r="C42" s="1" t="s">
        <v>17</v>
      </c>
      <c r="D42" s="1" t="s">
        <v>18</v>
      </c>
      <c r="E42" s="1" t="s">
        <v>19</v>
      </c>
      <c r="F42" s="1">
        <v>0</v>
      </c>
      <c r="G42" s="1" t="s">
        <v>20</v>
      </c>
      <c r="H42" s="3">
        <f t="shared" si="0"/>
        <v>1</v>
      </c>
      <c r="I42" s="1" t="s">
        <v>119</v>
      </c>
      <c r="J42" s="1" t="s">
        <v>120</v>
      </c>
      <c r="K42" s="1" t="s">
        <v>23</v>
      </c>
      <c r="L42" s="1" t="s">
        <v>24</v>
      </c>
      <c r="M42" s="1" t="s">
        <v>25</v>
      </c>
      <c r="N42" s="1"/>
      <c r="O42" s="1">
        <v>92</v>
      </c>
      <c r="P42" s="1">
        <v>92</v>
      </c>
    </row>
    <row r="43" spans="1:16" ht="24" customHeight="1">
      <c r="A43" s="1" t="s">
        <v>118</v>
      </c>
      <c r="B43" s="1">
        <v>69</v>
      </c>
      <c r="C43" s="1" t="s">
        <v>17</v>
      </c>
      <c r="D43" s="1" t="s">
        <v>18</v>
      </c>
      <c r="E43" s="1" t="s">
        <v>26</v>
      </c>
      <c r="F43" s="1">
        <v>1</v>
      </c>
      <c r="G43" s="1" t="s">
        <v>20</v>
      </c>
      <c r="H43" s="3">
        <f t="shared" si="0"/>
        <v>1</v>
      </c>
      <c r="I43" s="1" t="s">
        <v>121</v>
      </c>
      <c r="J43" s="1" t="s">
        <v>122</v>
      </c>
      <c r="K43" s="1" t="s">
        <v>23</v>
      </c>
      <c r="L43" s="1" t="s">
        <v>29</v>
      </c>
      <c r="M43" s="1" t="s">
        <v>25</v>
      </c>
      <c r="N43" s="1"/>
      <c r="O43" s="1">
        <v>92</v>
      </c>
      <c r="P43" s="1">
        <v>92</v>
      </c>
    </row>
    <row r="44" spans="1:16" ht="24" customHeight="1">
      <c r="A44" s="1" t="s">
        <v>118</v>
      </c>
      <c r="B44" s="1">
        <v>69</v>
      </c>
      <c r="C44" s="1" t="s">
        <v>17</v>
      </c>
      <c r="D44" s="1" t="s">
        <v>18</v>
      </c>
      <c r="E44" s="1" t="s">
        <v>30</v>
      </c>
      <c r="F44" s="1">
        <v>3</v>
      </c>
      <c r="G44" s="1" t="s">
        <v>59</v>
      </c>
      <c r="H44" s="3">
        <f t="shared" si="0"/>
        <v>1</v>
      </c>
      <c r="I44" s="1" t="s">
        <v>123</v>
      </c>
      <c r="J44" s="1" t="s">
        <v>124</v>
      </c>
      <c r="K44" s="1" t="s">
        <v>23</v>
      </c>
      <c r="L44" s="1" t="s">
        <v>33</v>
      </c>
      <c r="M44" s="1" t="s">
        <v>62</v>
      </c>
      <c r="N44" s="1"/>
      <c r="O44" s="1">
        <v>92</v>
      </c>
      <c r="P44" s="1">
        <v>92</v>
      </c>
    </row>
    <row r="45" spans="1:16" ht="24" customHeight="1">
      <c r="A45" s="1" t="s">
        <v>118</v>
      </c>
      <c r="B45" s="1">
        <v>69</v>
      </c>
      <c r="C45" s="1" t="s">
        <v>17</v>
      </c>
      <c r="D45" s="1" t="s">
        <v>18</v>
      </c>
      <c r="E45" s="1" t="s">
        <v>34</v>
      </c>
      <c r="F45" s="1">
        <v>6</v>
      </c>
      <c r="G45" s="1" t="s">
        <v>63</v>
      </c>
      <c r="H45" s="3">
        <f t="shared" si="0"/>
        <v>1</v>
      </c>
      <c r="I45" s="1" t="s">
        <v>125</v>
      </c>
      <c r="J45" s="1" t="s">
        <v>126</v>
      </c>
      <c r="K45" s="1" t="s">
        <v>23</v>
      </c>
      <c r="L45" s="1" t="s">
        <v>37</v>
      </c>
      <c r="M45" s="1" t="s">
        <v>66</v>
      </c>
      <c r="N45" s="1"/>
      <c r="O45" s="1">
        <v>92</v>
      </c>
      <c r="P45" s="1">
        <v>92</v>
      </c>
    </row>
    <row r="46" spans="1:16" ht="24" customHeight="1">
      <c r="A46" s="1" t="s">
        <v>127</v>
      </c>
      <c r="B46" s="1">
        <v>70</v>
      </c>
      <c r="C46" s="1" t="s">
        <v>17</v>
      </c>
      <c r="D46" s="1" t="s">
        <v>39</v>
      </c>
      <c r="E46" s="1" t="s">
        <v>19</v>
      </c>
      <c r="F46" s="1">
        <v>0</v>
      </c>
      <c r="G46" s="1" t="s">
        <v>88</v>
      </c>
      <c r="H46" s="3">
        <f t="shared" si="0"/>
        <v>0.93406593406593408</v>
      </c>
      <c r="I46" s="1" t="s">
        <v>128</v>
      </c>
      <c r="J46" s="1" t="s">
        <v>129</v>
      </c>
      <c r="K46" s="1" t="s">
        <v>23</v>
      </c>
      <c r="L46" s="1" t="s">
        <v>42</v>
      </c>
      <c r="M46" s="1" t="s">
        <v>91</v>
      </c>
      <c r="N46" s="1"/>
      <c r="O46" s="1">
        <v>85</v>
      </c>
      <c r="P46" s="1">
        <v>91</v>
      </c>
    </row>
    <row r="47" spans="1:16" ht="24" customHeight="1">
      <c r="A47" s="1" t="s">
        <v>127</v>
      </c>
      <c r="B47" s="1">
        <v>70</v>
      </c>
      <c r="C47" s="1" t="s">
        <v>17</v>
      </c>
      <c r="D47" s="1" t="s">
        <v>39</v>
      </c>
      <c r="E47" s="1" t="s">
        <v>19</v>
      </c>
      <c r="F47" s="1">
        <v>0</v>
      </c>
      <c r="G47" s="1" t="s">
        <v>130</v>
      </c>
      <c r="H47" s="3">
        <f t="shared" si="0"/>
        <v>6.5934065934065936E-2</v>
      </c>
      <c r="I47" s="1" t="s">
        <v>128</v>
      </c>
      <c r="J47" s="1" t="s">
        <v>129</v>
      </c>
      <c r="K47" s="1" t="s">
        <v>23</v>
      </c>
      <c r="L47" s="1" t="s">
        <v>42</v>
      </c>
      <c r="M47" s="1" t="s">
        <v>131</v>
      </c>
      <c r="N47" s="1"/>
      <c r="O47" s="1">
        <v>6</v>
      </c>
      <c r="P47" s="1">
        <v>91</v>
      </c>
    </row>
    <row r="48" spans="1:16" ht="24" customHeight="1">
      <c r="A48" s="1" t="s">
        <v>127</v>
      </c>
      <c r="B48" s="1">
        <v>70</v>
      </c>
      <c r="C48" s="1" t="s">
        <v>17</v>
      </c>
      <c r="D48" s="1" t="s">
        <v>39</v>
      </c>
      <c r="E48" s="1" t="s">
        <v>26</v>
      </c>
      <c r="F48" s="1">
        <v>1</v>
      </c>
      <c r="G48" s="1" t="s">
        <v>88</v>
      </c>
      <c r="H48" s="3">
        <f t="shared" si="0"/>
        <v>0.92391304347826086</v>
      </c>
      <c r="I48" s="1" t="s">
        <v>132</v>
      </c>
      <c r="J48" s="1" t="s">
        <v>133</v>
      </c>
      <c r="K48" s="1" t="s">
        <v>23</v>
      </c>
      <c r="L48" s="1" t="s">
        <v>47</v>
      </c>
      <c r="M48" s="1" t="s">
        <v>91</v>
      </c>
      <c r="N48" s="1"/>
      <c r="O48" s="1">
        <v>85</v>
      </c>
      <c r="P48" s="1">
        <v>92</v>
      </c>
    </row>
    <row r="49" spans="1:16" ht="24" customHeight="1">
      <c r="A49" s="1" t="s">
        <v>127</v>
      </c>
      <c r="B49" s="1">
        <v>70</v>
      </c>
      <c r="C49" s="1" t="s">
        <v>17</v>
      </c>
      <c r="D49" s="1" t="s">
        <v>39</v>
      </c>
      <c r="E49" s="1" t="s">
        <v>26</v>
      </c>
      <c r="F49" s="1">
        <v>1</v>
      </c>
      <c r="G49" s="1" t="s">
        <v>134</v>
      </c>
      <c r="H49" s="3">
        <f t="shared" si="0"/>
        <v>7.6086956521739135E-2</v>
      </c>
      <c r="I49" s="1" t="s">
        <v>132</v>
      </c>
      <c r="J49" s="1" t="s">
        <v>133</v>
      </c>
      <c r="K49" s="1" t="s">
        <v>23</v>
      </c>
      <c r="L49" s="1" t="s">
        <v>47</v>
      </c>
      <c r="M49" s="1" t="s">
        <v>135</v>
      </c>
      <c r="N49" s="1"/>
      <c r="O49" s="1">
        <v>7</v>
      </c>
      <c r="P49" s="1">
        <v>92</v>
      </c>
    </row>
    <row r="50" spans="1:16" ht="24" customHeight="1">
      <c r="A50" s="1" t="s">
        <v>127</v>
      </c>
      <c r="B50" s="1">
        <v>70</v>
      </c>
      <c r="C50" s="1" t="s">
        <v>17</v>
      </c>
      <c r="D50" s="1" t="s">
        <v>39</v>
      </c>
      <c r="E50" s="1" t="s">
        <v>30</v>
      </c>
      <c r="F50" s="1">
        <v>3</v>
      </c>
      <c r="G50" s="1" t="s">
        <v>88</v>
      </c>
      <c r="H50" s="3">
        <f t="shared" si="0"/>
        <v>0.94505494505494503</v>
      </c>
      <c r="I50" s="1" t="s">
        <v>136</v>
      </c>
      <c r="J50" s="1" t="s">
        <v>137</v>
      </c>
      <c r="K50" s="1" t="s">
        <v>23</v>
      </c>
      <c r="L50" s="1" t="s">
        <v>50</v>
      </c>
      <c r="M50" s="1" t="s">
        <v>91</v>
      </c>
      <c r="N50" s="1"/>
      <c r="O50" s="1">
        <v>86</v>
      </c>
      <c r="P50" s="1">
        <v>91</v>
      </c>
    </row>
    <row r="51" spans="1:16" ht="24" customHeight="1">
      <c r="A51" s="1" t="s">
        <v>127</v>
      </c>
      <c r="B51" s="1">
        <v>70</v>
      </c>
      <c r="C51" s="1" t="s">
        <v>17</v>
      </c>
      <c r="D51" s="1" t="s">
        <v>39</v>
      </c>
      <c r="E51" s="1" t="s">
        <v>30</v>
      </c>
      <c r="F51" s="1">
        <v>3</v>
      </c>
      <c r="G51" s="1" t="s">
        <v>130</v>
      </c>
      <c r="H51" s="3">
        <f t="shared" si="0"/>
        <v>5.4945054945054944E-2</v>
      </c>
      <c r="I51" s="1" t="s">
        <v>136</v>
      </c>
      <c r="J51" s="1" t="s">
        <v>137</v>
      </c>
      <c r="K51" s="1" t="s">
        <v>23</v>
      </c>
      <c r="L51" s="1" t="s">
        <v>50</v>
      </c>
      <c r="M51" s="1" t="s">
        <v>131</v>
      </c>
      <c r="N51" s="1"/>
      <c r="O51" s="1">
        <v>5</v>
      </c>
      <c r="P51" s="1">
        <v>91</v>
      </c>
    </row>
    <row r="52" spans="1:16" ht="24" customHeight="1">
      <c r="A52" s="1" t="s">
        <v>127</v>
      </c>
      <c r="B52" s="1">
        <v>70</v>
      </c>
      <c r="C52" s="1" t="s">
        <v>17</v>
      </c>
      <c r="D52" s="1" t="s">
        <v>39</v>
      </c>
      <c r="E52" s="1" t="s">
        <v>34</v>
      </c>
      <c r="F52" s="1">
        <v>6</v>
      </c>
      <c r="G52" s="1" t="s">
        <v>88</v>
      </c>
      <c r="H52" s="3">
        <f t="shared" si="0"/>
        <v>0.88043478260869568</v>
      </c>
      <c r="I52" s="1" t="s">
        <v>138</v>
      </c>
      <c r="J52" s="1" t="s">
        <v>139</v>
      </c>
      <c r="K52" s="1" t="s">
        <v>23</v>
      </c>
      <c r="L52" s="1" t="s">
        <v>53</v>
      </c>
      <c r="M52" s="1" t="s">
        <v>91</v>
      </c>
      <c r="N52" s="1"/>
      <c r="O52" s="1">
        <v>81</v>
      </c>
      <c r="P52" s="1">
        <v>92</v>
      </c>
    </row>
    <row r="53" spans="1:16" ht="24" customHeight="1">
      <c r="A53" s="1" t="s">
        <v>127</v>
      </c>
      <c r="B53" s="1">
        <v>70</v>
      </c>
      <c r="C53" s="1" t="s">
        <v>17</v>
      </c>
      <c r="D53" s="1" t="s">
        <v>39</v>
      </c>
      <c r="E53" s="1" t="s">
        <v>34</v>
      </c>
      <c r="F53" s="1">
        <v>6</v>
      </c>
      <c r="G53" s="1" t="s">
        <v>134</v>
      </c>
      <c r="H53" s="3">
        <f t="shared" si="0"/>
        <v>0.11956521739130435</v>
      </c>
      <c r="I53" s="1" t="s">
        <v>138</v>
      </c>
      <c r="J53" s="1" t="s">
        <v>139</v>
      </c>
      <c r="K53" s="1" t="s">
        <v>23</v>
      </c>
      <c r="L53" s="1" t="s">
        <v>53</v>
      </c>
      <c r="M53" s="1" t="s">
        <v>135</v>
      </c>
      <c r="N53" s="1"/>
      <c r="O53" s="1">
        <v>11</v>
      </c>
      <c r="P53" s="1">
        <v>92</v>
      </c>
    </row>
    <row r="54" spans="1:16" ht="24" customHeight="1">
      <c r="A54" s="1" t="s">
        <v>140</v>
      </c>
      <c r="B54" s="1">
        <v>71</v>
      </c>
      <c r="C54" s="1" t="s">
        <v>17</v>
      </c>
      <c r="D54" s="1" t="s">
        <v>18</v>
      </c>
      <c r="E54" s="1" t="s">
        <v>19</v>
      </c>
      <c r="F54" s="1">
        <v>0</v>
      </c>
      <c r="G54" s="1" t="s">
        <v>20</v>
      </c>
      <c r="H54" s="3">
        <f t="shared" si="0"/>
        <v>1</v>
      </c>
      <c r="I54" s="1" t="s">
        <v>141</v>
      </c>
      <c r="J54" s="1" t="s">
        <v>142</v>
      </c>
      <c r="K54" s="1" t="s">
        <v>23</v>
      </c>
      <c r="L54" s="1" t="s">
        <v>24</v>
      </c>
      <c r="M54" s="1" t="s">
        <v>25</v>
      </c>
      <c r="N54" s="1"/>
      <c r="O54" s="1">
        <v>92</v>
      </c>
      <c r="P54" s="1">
        <v>92</v>
      </c>
    </row>
    <row r="55" spans="1:16" ht="24" customHeight="1">
      <c r="A55" s="1" t="s">
        <v>140</v>
      </c>
      <c r="B55" s="1">
        <v>71</v>
      </c>
      <c r="C55" s="1" t="s">
        <v>17</v>
      </c>
      <c r="D55" s="1" t="s">
        <v>18</v>
      </c>
      <c r="E55" s="1" t="s">
        <v>26</v>
      </c>
      <c r="F55" s="1">
        <v>1</v>
      </c>
      <c r="G55" s="1" t="s">
        <v>143</v>
      </c>
      <c r="H55" s="3">
        <f t="shared" si="0"/>
        <v>1</v>
      </c>
      <c r="I55" s="1" t="s">
        <v>144</v>
      </c>
      <c r="J55" s="1" t="s">
        <v>145</v>
      </c>
      <c r="K55" s="1" t="s">
        <v>23</v>
      </c>
      <c r="L55" s="1" t="s">
        <v>29</v>
      </c>
      <c r="M55" s="1" t="s">
        <v>146</v>
      </c>
      <c r="N55" s="1"/>
      <c r="O55" s="1">
        <v>92</v>
      </c>
      <c r="P55" s="1">
        <v>92</v>
      </c>
    </row>
    <row r="56" spans="1:16" ht="24" customHeight="1">
      <c r="A56" s="1" t="s">
        <v>140</v>
      </c>
      <c r="B56" s="1">
        <v>71</v>
      </c>
      <c r="C56" s="1" t="s">
        <v>17</v>
      </c>
      <c r="D56" s="1" t="s">
        <v>18</v>
      </c>
      <c r="E56" s="1" t="s">
        <v>30</v>
      </c>
      <c r="F56" s="1">
        <v>3</v>
      </c>
      <c r="G56" s="1" t="s">
        <v>143</v>
      </c>
      <c r="H56" s="3">
        <f t="shared" si="0"/>
        <v>1</v>
      </c>
      <c r="I56" s="1" t="s">
        <v>147</v>
      </c>
      <c r="J56" s="1" t="s">
        <v>148</v>
      </c>
      <c r="K56" s="1" t="s">
        <v>23</v>
      </c>
      <c r="L56" s="1" t="s">
        <v>33</v>
      </c>
      <c r="M56" s="1" t="s">
        <v>146</v>
      </c>
      <c r="N56" s="1"/>
      <c r="O56" s="1">
        <v>92</v>
      </c>
      <c r="P56" s="1">
        <v>92</v>
      </c>
    </row>
    <row r="57" spans="1:16" ht="24" customHeight="1">
      <c r="A57" s="1" t="s">
        <v>140</v>
      </c>
      <c r="B57" s="1">
        <v>71</v>
      </c>
      <c r="C57" s="1" t="s">
        <v>17</v>
      </c>
      <c r="D57" s="1" t="s">
        <v>18</v>
      </c>
      <c r="E57" s="1" t="s">
        <v>34</v>
      </c>
      <c r="F57" s="1">
        <v>6</v>
      </c>
      <c r="G57" s="1" t="s">
        <v>68</v>
      </c>
      <c r="H57" s="3">
        <f t="shared" si="0"/>
        <v>0.86956521739130432</v>
      </c>
      <c r="I57" s="1" t="s">
        <v>149</v>
      </c>
      <c r="J57" s="1" t="s">
        <v>150</v>
      </c>
      <c r="K57" s="1" t="s">
        <v>23</v>
      </c>
      <c r="L57" s="1" t="s">
        <v>37</v>
      </c>
      <c r="M57" s="1" t="s">
        <v>71</v>
      </c>
      <c r="N57" s="1"/>
      <c r="O57" s="1">
        <v>80</v>
      </c>
      <c r="P57" s="1">
        <v>92</v>
      </c>
    </row>
    <row r="58" spans="1:16" ht="24" customHeight="1">
      <c r="A58" s="1" t="s">
        <v>140</v>
      </c>
      <c r="B58" s="1">
        <v>71</v>
      </c>
      <c r="C58" s="1" t="s">
        <v>17</v>
      </c>
      <c r="D58" s="1" t="s">
        <v>18</v>
      </c>
      <c r="E58" s="1" t="s">
        <v>34</v>
      </c>
      <c r="F58" s="1">
        <v>6</v>
      </c>
      <c r="G58" s="1" t="s">
        <v>43</v>
      </c>
      <c r="H58" s="3">
        <f t="shared" si="0"/>
        <v>0.13043478260869565</v>
      </c>
      <c r="I58" s="1" t="s">
        <v>149</v>
      </c>
      <c r="J58" s="1" t="s">
        <v>150</v>
      </c>
      <c r="K58" s="1" t="s">
        <v>23</v>
      </c>
      <c r="L58" s="1" t="s">
        <v>37</v>
      </c>
      <c r="M58" s="1" t="s">
        <v>44</v>
      </c>
      <c r="N58" s="1"/>
      <c r="O58" s="1">
        <v>12</v>
      </c>
      <c r="P58" s="1">
        <v>92</v>
      </c>
    </row>
    <row r="59" spans="1:16" ht="24" customHeight="1">
      <c r="A59" s="1" t="s">
        <v>151</v>
      </c>
      <c r="B59" s="1">
        <v>72</v>
      </c>
      <c r="C59" s="1" t="s">
        <v>17</v>
      </c>
      <c r="D59" s="1" t="s">
        <v>39</v>
      </c>
      <c r="E59" s="1" t="s">
        <v>19</v>
      </c>
      <c r="F59" s="1">
        <v>0</v>
      </c>
      <c r="G59" s="1" t="s">
        <v>152</v>
      </c>
      <c r="H59" s="3">
        <f t="shared" si="0"/>
        <v>0.97802197802197799</v>
      </c>
      <c r="I59" s="1" t="s">
        <v>153</v>
      </c>
      <c r="J59" s="1" t="s">
        <v>154</v>
      </c>
      <c r="K59" s="1" t="s">
        <v>23</v>
      </c>
      <c r="L59" s="1" t="s">
        <v>42</v>
      </c>
      <c r="M59" s="1" t="s">
        <v>155</v>
      </c>
      <c r="N59" s="1"/>
      <c r="O59" s="1">
        <v>89</v>
      </c>
      <c r="P59" s="1">
        <v>91</v>
      </c>
    </row>
    <row r="60" spans="1:16" ht="24" customHeight="1">
      <c r="A60" s="1" t="s">
        <v>151</v>
      </c>
      <c r="B60" s="1">
        <v>72</v>
      </c>
      <c r="C60" s="1" t="s">
        <v>17</v>
      </c>
      <c r="D60" s="1" t="s">
        <v>39</v>
      </c>
      <c r="E60" s="1" t="s">
        <v>19</v>
      </c>
      <c r="F60" s="1">
        <v>0</v>
      </c>
      <c r="G60" s="1" t="s">
        <v>43</v>
      </c>
      <c r="H60" s="3">
        <f t="shared" si="0"/>
        <v>2.197802197802198E-2</v>
      </c>
      <c r="I60" s="1" t="s">
        <v>153</v>
      </c>
      <c r="J60" s="1" t="s">
        <v>154</v>
      </c>
      <c r="K60" s="1" t="s">
        <v>23</v>
      </c>
      <c r="L60" s="1" t="s">
        <v>42</v>
      </c>
      <c r="M60" s="1" t="s">
        <v>44</v>
      </c>
      <c r="N60" s="1" t="s">
        <v>156</v>
      </c>
      <c r="O60" s="1">
        <v>2</v>
      </c>
      <c r="P60" s="1">
        <v>91</v>
      </c>
    </row>
    <row r="61" spans="1:16" ht="24" customHeight="1">
      <c r="A61" s="1" t="s">
        <v>151</v>
      </c>
      <c r="B61" s="1">
        <v>72</v>
      </c>
      <c r="C61" s="1" t="s">
        <v>17</v>
      </c>
      <c r="D61" s="1" t="s">
        <v>39</v>
      </c>
      <c r="E61" s="1" t="s">
        <v>26</v>
      </c>
      <c r="F61" s="1">
        <v>1</v>
      </c>
      <c r="G61" s="1" t="s">
        <v>152</v>
      </c>
      <c r="H61" s="3">
        <f t="shared" si="0"/>
        <v>0.98913043478260865</v>
      </c>
      <c r="I61" s="1" t="s">
        <v>157</v>
      </c>
      <c r="J61" s="1" t="s">
        <v>158</v>
      </c>
      <c r="K61" s="1" t="s">
        <v>23</v>
      </c>
      <c r="L61" s="1" t="s">
        <v>47</v>
      </c>
      <c r="M61" s="1" t="s">
        <v>155</v>
      </c>
      <c r="N61" s="1" t="s">
        <v>159</v>
      </c>
      <c r="O61" s="1">
        <v>91</v>
      </c>
      <c r="P61" s="1">
        <v>92</v>
      </c>
    </row>
    <row r="62" spans="1:16" ht="24" customHeight="1">
      <c r="A62" s="1" t="s">
        <v>151</v>
      </c>
      <c r="B62" s="1">
        <v>72</v>
      </c>
      <c r="C62" s="1" t="s">
        <v>17</v>
      </c>
      <c r="D62" s="1" t="s">
        <v>39</v>
      </c>
      <c r="E62" s="1" t="s">
        <v>26</v>
      </c>
      <c r="F62" s="1">
        <v>1</v>
      </c>
      <c r="G62" s="1" t="s">
        <v>43</v>
      </c>
      <c r="H62" s="3">
        <f t="shared" si="0"/>
        <v>1.0869565217391304E-2</v>
      </c>
      <c r="I62" s="1" t="s">
        <v>157</v>
      </c>
      <c r="J62" s="1" t="s">
        <v>158</v>
      </c>
      <c r="K62" s="1" t="s">
        <v>23</v>
      </c>
      <c r="L62" s="1" t="s">
        <v>47</v>
      </c>
      <c r="M62" s="1" t="s">
        <v>44</v>
      </c>
      <c r="N62" s="1" t="s">
        <v>159</v>
      </c>
      <c r="O62" s="1">
        <v>1</v>
      </c>
      <c r="P62" s="1">
        <v>92</v>
      </c>
    </row>
    <row r="63" spans="1:16" ht="24" customHeight="1">
      <c r="A63" s="1" t="s">
        <v>151</v>
      </c>
      <c r="B63" s="1">
        <v>72</v>
      </c>
      <c r="C63" s="1" t="s">
        <v>17</v>
      </c>
      <c r="D63" s="1" t="s">
        <v>39</v>
      </c>
      <c r="E63" s="1" t="s">
        <v>30</v>
      </c>
      <c r="F63" s="1">
        <v>3</v>
      </c>
      <c r="G63" s="1" t="s">
        <v>152</v>
      </c>
      <c r="H63" s="3">
        <f t="shared" si="0"/>
        <v>1</v>
      </c>
      <c r="I63" s="1" t="s">
        <v>160</v>
      </c>
      <c r="J63" s="1" t="s">
        <v>161</v>
      </c>
      <c r="K63" s="1" t="s">
        <v>23</v>
      </c>
      <c r="L63" s="1" t="s">
        <v>50</v>
      </c>
      <c r="M63" s="1" t="s">
        <v>155</v>
      </c>
      <c r="N63" s="1"/>
      <c r="O63" s="1">
        <v>92</v>
      </c>
      <c r="P63" s="1">
        <v>92</v>
      </c>
    </row>
    <row r="64" spans="1:16" ht="24" customHeight="1">
      <c r="A64" s="1" t="s">
        <v>151</v>
      </c>
      <c r="B64" s="1">
        <v>72</v>
      </c>
      <c r="C64" s="1" t="s">
        <v>17</v>
      </c>
      <c r="D64" s="1" t="s">
        <v>39</v>
      </c>
      <c r="E64" s="1" t="s">
        <v>34</v>
      </c>
      <c r="F64" s="1">
        <v>6</v>
      </c>
      <c r="G64" s="1" t="s">
        <v>152</v>
      </c>
      <c r="H64" s="3">
        <f t="shared" si="0"/>
        <v>1</v>
      </c>
      <c r="I64" s="1" t="s">
        <v>162</v>
      </c>
      <c r="J64" s="1" t="s">
        <v>163</v>
      </c>
      <c r="K64" s="1" t="s">
        <v>23</v>
      </c>
      <c r="L64" s="1" t="s">
        <v>53</v>
      </c>
      <c r="M64" s="1" t="s">
        <v>155</v>
      </c>
      <c r="N64" s="1"/>
      <c r="O64" s="1">
        <v>92</v>
      </c>
      <c r="P64" s="1">
        <v>92</v>
      </c>
    </row>
    <row r="65" spans="1:16" ht="24" customHeight="1">
      <c r="A65" s="1" t="s">
        <v>164</v>
      </c>
      <c r="B65" s="1">
        <v>77</v>
      </c>
      <c r="C65" s="1" t="s">
        <v>17</v>
      </c>
      <c r="D65" s="1" t="s">
        <v>18</v>
      </c>
      <c r="E65" s="1" t="s">
        <v>19</v>
      </c>
      <c r="F65" s="1">
        <v>0</v>
      </c>
      <c r="G65" s="1" t="s">
        <v>20</v>
      </c>
      <c r="H65" s="3">
        <f t="shared" si="0"/>
        <v>1</v>
      </c>
      <c r="I65" s="1" t="s">
        <v>165</v>
      </c>
      <c r="J65" s="1" t="s">
        <v>166</v>
      </c>
      <c r="K65" s="1" t="s">
        <v>23</v>
      </c>
      <c r="L65" s="1" t="s">
        <v>24</v>
      </c>
      <c r="M65" s="1" t="s">
        <v>25</v>
      </c>
      <c r="N65" s="1"/>
      <c r="O65" s="1">
        <v>92</v>
      </c>
      <c r="P65" s="1">
        <v>92</v>
      </c>
    </row>
    <row r="66" spans="1:16" ht="24" customHeight="1">
      <c r="A66" s="1" t="s">
        <v>164</v>
      </c>
      <c r="B66" s="1">
        <v>77</v>
      </c>
      <c r="C66" s="1" t="s">
        <v>17</v>
      </c>
      <c r="D66" s="1" t="s">
        <v>18</v>
      </c>
      <c r="E66" s="1" t="s">
        <v>26</v>
      </c>
      <c r="F66" s="1">
        <v>1</v>
      </c>
      <c r="G66" s="1" t="s">
        <v>20</v>
      </c>
      <c r="H66" s="3">
        <f t="shared" ref="H66:H129" si="1">O66/P66</f>
        <v>1</v>
      </c>
      <c r="I66" s="1" t="s">
        <v>167</v>
      </c>
      <c r="J66" s="1" t="s">
        <v>168</v>
      </c>
      <c r="K66" s="1" t="s">
        <v>23</v>
      </c>
      <c r="L66" s="1" t="s">
        <v>29</v>
      </c>
      <c r="M66" s="1" t="s">
        <v>25</v>
      </c>
      <c r="N66" s="1"/>
      <c r="O66" s="1">
        <v>92</v>
      </c>
      <c r="P66" s="1">
        <v>92</v>
      </c>
    </row>
    <row r="67" spans="1:16" ht="24" customHeight="1">
      <c r="A67" s="1" t="s">
        <v>164</v>
      </c>
      <c r="B67" s="1">
        <v>77</v>
      </c>
      <c r="C67" s="1" t="s">
        <v>17</v>
      </c>
      <c r="D67" s="1" t="s">
        <v>18</v>
      </c>
      <c r="E67" s="1" t="s">
        <v>30</v>
      </c>
      <c r="F67" s="1">
        <v>3</v>
      </c>
      <c r="G67" s="1" t="s">
        <v>20</v>
      </c>
      <c r="H67" s="3">
        <f t="shared" si="1"/>
        <v>1</v>
      </c>
      <c r="I67" s="1" t="s">
        <v>169</v>
      </c>
      <c r="J67" s="1" t="s">
        <v>170</v>
      </c>
      <c r="K67" s="1" t="s">
        <v>23</v>
      </c>
      <c r="L67" s="1" t="s">
        <v>33</v>
      </c>
      <c r="M67" s="1" t="s">
        <v>25</v>
      </c>
      <c r="N67" s="1"/>
      <c r="O67" s="1">
        <v>92</v>
      </c>
      <c r="P67" s="1">
        <v>92</v>
      </c>
    </row>
    <row r="68" spans="1:16" ht="24" customHeight="1">
      <c r="A68" s="1" t="s">
        <v>164</v>
      </c>
      <c r="B68" s="1">
        <v>77</v>
      </c>
      <c r="C68" s="1" t="s">
        <v>17</v>
      </c>
      <c r="D68" s="1" t="s">
        <v>18</v>
      </c>
      <c r="E68" s="1" t="s">
        <v>34</v>
      </c>
      <c r="F68" s="1">
        <v>6</v>
      </c>
      <c r="G68" s="1" t="s">
        <v>20</v>
      </c>
      <c r="H68" s="3">
        <f t="shared" si="1"/>
        <v>1</v>
      </c>
      <c r="I68" s="1" t="s">
        <v>171</v>
      </c>
      <c r="J68" s="1" t="s">
        <v>172</v>
      </c>
      <c r="K68" s="1" t="s">
        <v>23</v>
      </c>
      <c r="L68" s="1" t="s">
        <v>37</v>
      </c>
      <c r="M68" s="1" t="s">
        <v>25</v>
      </c>
      <c r="N68" s="1"/>
      <c r="O68" s="1">
        <v>92</v>
      </c>
      <c r="P68" s="1">
        <v>92</v>
      </c>
    </row>
    <row r="69" spans="1:16" ht="24" customHeight="1">
      <c r="A69" s="1" t="s">
        <v>173</v>
      </c>
      <c r="B69" s="1">
        <v>78</v>
      </c>
      <c r="C69" s="1" t="s">
        <v>17</v>
      </c>
      <c r="D69" s="1" t="s">
        <v>39</v>
      </c>
      <c r="E69" s="1" t="s">
        <v>19</v>
      </c>
      <c r="F69" s="1">
        <v>0</v>
      </c>
      <c r="G69" s="1" t="s">
        <v>174</v>
      </c>
      <c r="H69" s="3">
        <f t="shared" si="1"/>
        <v>1</v>
      </c>
      <c r="I69" s="1" t="s">
        <v>175</v>
      </c>
      <c r="J69" s="1" t="s">
        <v>176</v>
      </c>
      <c r="K69" s="1" t="s">
        <v>23</v>
      </c>
      <c r="L69" s="1" t="s">
        <v>42</v>
      </c>
      <c r="M69" s="1" t="s">
        <v>177</v>
      </c>
      <c r="N69" s="1"/>
      <c r="O69" s="1">
        <v>92</v>
      </c>
      <c r="P69" s="1">
        <v>92</v>
      </c>
    </row>
    <row r="70" spans="1:16" ht="24" customHeight="1">
      <c r="A70" s="1" t="s">
        <v>173</v>
      </c>
      <c r="B70" s="1">
        <v>78</v>
      </c>
      <c r="C70" s="1" t="s">
        <v>17</v>
      </c>
      <c r="D70" s="1" t="s">
        <v>39</v>
      </c>
      <c r="E70" s="1" t="s">
        <v>26</v>
      </c>
      <c r="F70" s="1">
        <v>1</v>
      </c>
      <c r="G70" s="1" t="s">
        <v>174</v>
      </c>
      <c r="H70" s="3">
        <f t="shared" si="1"/>
        <v>0.50549450549450547</v>
      </c>
      <c r="I70" s="1" t="s">
        <v>178</v>
      </c>
      <c r="J70" s="1" t="s">
        <v>179</v>
      </c>
      <c r="K70" s="1" t="s">
        <v>23</v>
      </c>
      <c r="L70" s="1" t="s">
        <v>47</v>
      </c>
      <c r="M70" s="1" t="s">
        <v>177</v>
      </c>
      <c r="N70" s="1"/>
      <c r="O70" s="1">
        <v>46</v>
      </c>
      <c r="P70" s="1">
        <v>91</v>
      </c>
    </row>
    <row r="71" spans="1:16" ht="24" customHeight="1">
      <c r="A71" s="1" t="s">
        <v>173</v>
      </c>
      <c r="B71" s="1">
        <v>78</v>
      </c>
      <c r="C71" s="1" t="s">
        <v>17</v>
      </c>
      <c r="D71" s="1" t="s">
        <v>39</v>
      </c>
      <c r="E71" s="1" t="s">
        <v>26</v>
      </c>
      <c r="F71" s="1">
        <v>1</v>
      </c>
      <c r="G71" s="1" t="s">
        <v>88</v>
      </c>
      <c r="H71" s="3">
        <f t="shared" si="1"/>
        <v>0.49450549450549453</v>
      </c>
      <c r="I71" s="1" t="s">
        <v>178</v>
      </c>
      <c r="J71" s="1" t="s">
        <v>179</v>
      </c>
      <c r="K71" s="1" t="s">
        <v>23</v>
      </c>
      <c r="L71" s="1" t="s">
        <v>47</v>
      </c>
      <c r="M71" s="1" t="s">
        <v>91</v>
      </c>
      <c r="N71" s="1"/>
      <c r="O71" s="1">
        <v>45</v>
      </c>
      <c r="P71" s="1">
        <v>91</v>
      </c>
    </row>
    <row r="72" spans="1:16" ht="24" customHeight="1">
      <c r="A72" s="1" t="s">
        <v>173</v>
      </c>
      <c r="B72" s="1">
        <v>78</v>
      </c>
      <c r="C72" s="1" t="s">
        <v>17</v>
      </c>
      <c r="D72" s="1" t="s">
        <v>39</v>
      </c>
      <c r="E72" s="1" t="s">
        <v>30</v>
      </c>
      <c r="F72" s="1">
        <v>3</v>
      </c>
      <c r="G72" s="1" t="s">
        <v>174</v>
      </c>
      <c r="H72" s="3">
        <f t="shared" si="1"/>
        <v>0.76923076923076927</v>
      </c>
      <c r="I72" s="1" t="s">
        <v>180</v>
      </c>
      <c r="J72" s="1" t="s">
        <v>181</v>
      </c>
      <c r="K72" s="1" t="s">
        <v>23</v>
      </c>
      <c r="L72" s="1" t="s">
        <v>50</v>
      </c>
      <c r="M72" s="1" t="s">
        <v>177</v>
      </c>
      <c r="N72" s="1"/>
      <c r="O72" s="1">
        <v>70</v>
      </c>
      <c r="P72" s="1">
        <v>91</v>
      </c>
    </row>
    <row r="73" spans="1:16" ht="24" customHeight="1">
      <c r="A73" s="1" t="s">
        <v>173</v>
      </c>
      <c r="B73" s="1">
        <v>78</v>
      </c>
      <c r="C73" s="1" t="s">
        <v>17</v>
      </c>
      <c r="D73" s="1" t="s">
        <v>39</v>
      </c>
      <c r="E73" s="1" t="s">
        <v>30</v>
      </c>
      <c r="F73" s="1">
        <v>3</v>
      </c>
      <c r="G73" s="1" t="s">
        <v>43</v>
      </c>
      <c r="H73" s="3">
        <f t="shared" si="1"/>
        <v>0.23076923076923078</v>
      </c>
      <c r="I73" s="1" t="s">
        <v>180</v>
      </c>
      <c r="J73" s="1" t="s">
        <v>181</v>
      </c>
      <c r="K73" s="1" t="s">
        <v>23</v>
      </c>
      <c r="L73" s="1" t="s">
        <v>50</v>
      </c>
      <c r="M73" s="1" t="s">
        <v>44</v>
      </c>
      <c r="N73" s="1"/>
      <c r="O73" s="1">
        <v>21</v>
      </c>
      <c r="P73" s="1">
        <v>91</v>
      </c>
    </row>
    <row r="74" spans="1:16" ht="24" customHeight="1">
      <c r="A74" s="1" t="s">
        <v>173</v>
      </c>
      <c r="B74" s="1">
        <v>78</v>
      </c>
      <c r="C74" s="1" t="s">
        <v>17</v>
      </c>
      <c r="D74" s="1" t="s">
        <v>39</v>
      </c>
      <c r="E74" s="1" t="s">
        <v>34</v>
      </c>
      <c r="F74" s="1">
        <v>6</v>
      </c>
      <c r="G74" s="1" t="s">
        <v>174</v>
      </c>
      <c r="H74" s="3">
        <f t="shared" si="1"/>
        <v>1</v>
      </c>
      <c r="I74" s="1" t="s">
        <v>182</v>
      </c>
      <c r="J74" s="1" t="s">
        <v>183</v>
      </c>
      <c r="K74" s="1" t="s">
        <v>23</v>
      </c>
      <c r="L74" s="1" t="s">
        <v>53</v>
      </c>
      <c r="M74" s="1" t="s">
        <v>177</v>
      </c>
      <c r="N74" s="1"/>
      <c r="O74" s="1">
        <v>92</v>
      </c>
      <c r="P74" s="1">
        <v>92</v>
      </c>
    </row>
    <row r="75" spans="1:16" ht="24" customHeight="1">
      <c r="A75" s="1" t="s">
        <v>184</v>
      </c>
      <c r="B75" s="1">
        <v>79</v>
      </c>
      <c r="C75" s="1" t="s">
        <v>17</v>
      </c>
      <c r="D75" s="1" t="s">
        <v>18</v>
      </c>
      <c r="E75" s="1" t="s">
        <v>19</v>
      </c>
      <c r="F75" s="1">
        <v>0</v>
      </c>
      <c r="G75" s="1" t="s">
        <v>20</v>
      </c>
      <c r="H75" s="3">
        <f t="shared" si="1"/>
        <v>1</v>
      </c>
      <c r="I75" s="1" t="s">
        <v>185</v>
      </c>
      <c r="J75" s="1" t="s">
        <v>186</v>
      </c>
      <c r="K75" s="1" t="s">
        <v>23</v>
      </c>
      <c r="L75" s="1" t="s">
        <v>24</v>
      </c>
      <c r="M75" s="1" t="s">
        <v>25</v>
      </c>
      <c r="N75" s="1"/>
      <c r="O75" s="1">
        <v>92</v>
      </c>
      <c r="P75" s="1">
        <v>92</v>
      </c>
    </row>
    <row r="76" spans="1:16" ht="24" customHeight="1">
      <c r="A76" s="1" t="s">
        <v>184</v>
      </c>
      <c r="B76" s="1">
        <v>79</v>
      </c>
      <c r="C76" s="1" t="s">
        <v>17</v>
      </c>
      <c r="D76" s="1" t="s">
        <v>18</v>
      </c>
      <c r="E76" s="1" t="s">
        <v>26</v>
      </c>
      <c r="F76" s="1">
        <v>1</v>
      </c>
      <c r="G76" s="1" t="s">
        <v>20</v>
      </c>
      <c r="H76" s="3">
        <f t="shared" si="1"/>
        <v>1</v>
      </c>
      <c r="I76" s="1" t="s">
        <v>187</v>
      </c>
      <c r="J76" s="1" t="s">
        <v>188</v>
      </c>
      <c r="K76" s="1" t="s">
        <v>23</v>
      </c>
      <c r="L76" s="1" t="s">
        <v>29</v>
      </c>
      <c r="M76" s="1" t="s">
        <v>25</v>
      </c>
      <c r="N76" s="1"/>
      <c r="O76" s="1">
        <v>92</v>
      </c>
      <c r="P76" s="1">
        <v>92</v>
      </c>
    </row>
    <row r="77" spans="1:16" ht="24" customHeight="1">
      <c r="A77" s="1" t="s">
        <v>184</v>
      </c>
      <c r="B77" s="1">
        <v>79</v>
      </c>
      <c r="C77" s="1" t="s">
        <v>17</v>
      </c>
      <c r="D77" s="1" t="s">
        <v>18</v>
      </c>
      <c r="E77" s="1" t="s">
        <v>30</v>
      </c>
      <c r="F77" s="1">
        <v>3</v>
      </c>
      <c r="G77" s="1" t="s">
        <v>20</v>
      </c>
      <c r="H77" s="3">
        <f t="shared" si="1"/>
        <v>1</v>
      </c>
      <c r="I77" s="1" t="s">
        <v>189</v>
      </c>
      <c r="J77" s="1" t="s">
        <v>190</v>
      </c>
      <c r="K77" s="1" t="s">
        <v>23</v>
      </c>
      <c r="L77" s="1" t="s">
        <v>33</v>
      </c>
      <c r="M77" s="1" t="s">
        <v>25</v>
      </c>
      <c r="N77" s="1"/>
      <c r="O77" s="1">
        <v>92</v>
      </c>
      <c r="P77" s="1">
        <v>92</v>
      </c>
    </row>
    <row r="78" spans="1:16" ht="24" customHeight="1">
      <c r="A78" s="1" t="s">
        <v>184</v>
      </c>
      <c r="B78" s="1">
        <v>79</v>
      </c>
      <c r="C78" s="1" t="s">
        <v>17</v>
      </c>
      <c r="D78" s="1" t="s">
        <v>18</v>
      </c>
      <c r="E78" s="1" t="s">
        <v>34</v>
      </c>
      <c r="F78" s="1">
        <v>6</v>
      </c>
      <c r="G78" s="1" t="s">
        <v>20</v>
      </c>
      <c r="H78" s="3">
        <f t="shared" si="1"/>
        <v>1</v>
      </c>
      <c r="I78" s="1" t="s">
        <v>191</v>
      </c>
      <c r="J78" s="1" t="s">
        <v>192</v>
      </c>
      <c r="K78" s="1" t="s">
        <v>23</v>
      </c>
      <c r="L78" s="1" t="s">
        <v>37</v>
      </c>
      <c r="M78" s="1" t="s">
        <v>25</v>
      </c>
      <c r="N78" s="1"/>
      <c r="O78" s="1">
        <v>92</v>
      </c>
      <c r="P78" s="1">
        <v>92</v>
      </c>
    </row>
    <row r="79" spans="1:16" ht="24" customHeight="1">
      <c r="A79" s="1" t="s">
        <v>193</v>
      </c>
      <c r="B79" s="1">
        <v>80</v>
      </c>
      <c r="C79" s="1" t="s">
        <v>17</v>
      </c>
      <c r="D79" s="1" t="s">
        <v>39</v>
      </c>
      <c r="E79" s="1" t="s">
        <v>19</v>
      </c>
      <c r="F79" s="1">
        <v>0</v>
      </c>
      <c r="G79" s="1" t="s">
        <v>152</v>
      </c>
      <c r="H79" s="3">
        <f t="shared" si="1"/>
        <v>0.93478260869565222</v>
      </c>
      <c r="I79" s="1" t="s">
        <v>194</v>
      </c>
      <c r="J79" s="1" t="s">
        <v>195</v>
      </c>
      <c r="K79" s="1" t="s">
        <v>23</v>
      </c>
      <c r="L79" s="1" t="s">
        <v>42</v>
      </c>
      <c r="M79" s="1" t="s">
        <v>155</v>
      </c>
      <c r="N79" s="1"/>
      <c r="O79" s="1">
        <v>86</v>
      </c>
      <c r="P79" s="1">
        <v>92</v>
      </c>
    </row>
    <row r="80" spans="1:16" ht="24" customHeight="1">
      <c r="A80" s="1" t="s">
        <v>193</v>
      </c>
      <c r="B80" s="1">
        <v>80</v>
      </c>
      <c r="C80" s="1" t="s">
        <v>17</v>
      </c>
      <c r="D80" s="1" t="s">
        <v>39</v>
      </c>
      <c r="E80" s="1" t="s">
        <v>19</v>
      </c>
      <c r="F80" s="1">
        <v>0</v>
      </c>
      <c r="G80" s="1" t="s">
        <v>43</v>
      </c>
      <c r="H80" s="3">
        <f t="shared" si="1"/>
        <v>6.5217391304347824E-2</v>
      </c>
      <c r="I80" s="1" t="s">
        <v>194</v>
      </c>
      <c r="J80" s="1" t="s">
        <v>195</v>
      </c>
      <c r="K80" s="1" t="s">
        <v>23</v>
      </c>
      <c r="L80" s="1" t="s">
        <v>42</v>
      </c>
      <c r="M80" s="1" t="s">
        <v>44</v>
      </c>
      <c r="N80" s="1"/>
      <c r="O80" s="1">
        <v>6</v>
      </c>
      <c r="P80" s="1">
        <v>92</v>
      </c>
    </row>
    <row r="81" spans="1:16" ht="24" customHeight="1">
      <c r="A81" s="1" t="s">
        <v>193</v>
      </c>
      <c r="B81" s="1">
        <v>80</v>
      </c>
      <c r="C81" s="1" t="s">
        <v>17</v>
      </c>
      <c r="D81" s="1" t="s">
        <v>39</v>
      </c>
      <c r="E81" s="1" t="s">
        <v>26</v>
      </c>
      <c r="F81" s="1">
        <v>1</v>
      </c>
      <c r="G81" s="1" t="s">
        <v>152</v>
      </c>
      <c r="H81" s="3">
        <f t="shared" si="1"/>
        <v>1</v>
      </c>
      <c r="I81" s="1" t="s">
        <v>196</v>
      </c>
      <c r="J81" s="1" t="s">
        <v>197</v>
      </c>
      <c r="K81" s="1" t="s">
        <v>23</v>
      </c>
      <c r="L81" s="1" t="s">
        <v>47</v>
      </c>
      <c r="M81" s="1" t="s">
        <v>155</v>
      </c>
      <c r="N81" s="1"/>
      <c r="O81" s="1">
        <v>92</v>
      </c>
      <c r="P81" s="1">
        <v>92</v>
      </c>
    </row>
    <row r="82" spans="1:16" ht="24" customHeight="1">
      <c r="A82" s="1" t="s">
        <v>193</v>
      </c>
      <c r="B82" s="1">
        <v>80</v>
      </c>
      <c r="C82" s="1" t="s">
        <v>17</v>
      </c>
      <c r="D82" s="1" t="s">
        <v>39</v>
      </c>
      <c r="E82" s="1" t="s">
        <v>30</v>
      </c>
      <c r="F82" s="1">
        <v>3</v>
      </c>
      <c r="G82" s="1" t="s">
        <v>152</v>
      </c>
      <c r="H82" s="3">
        <f t="shared" si="1"/>
        <v>0.80219780219780223</v>
      </c>
      <c r="I82" s="1" t="s">
        <v>198</v>
      </c>
      <c r="J82" s="1" t="s">
        <v>199</v>
      </c>
      <c r="K82" s="1" t="s">
        <v>23</v>
      </c>
      <c r="L82" s="1" t="s">
        <v>50</v>
      </c>
      <c r="M82" s="1" t="s">
        <v>155</v>
      </c>
      <c r="N82" s="1"/>
      <c r="O82" s="1">
        <v>73</v>
      </c>
      <c r="P82" s="1">
        <v>91</v>
      </c>
    </row>
    <row r="83" spans="1:16" ht="24" customHeight="1">
      <c r="A83" s="1" t="s">
        <v>193</v>
      </c>
      <c r="B83" s="1">
        <v>80</v>
      </c>
      <c r="C83" s="1" t="s">
        <v>17</v>
      </c>
      <c r="D83" s="1" t="s">
        <v>39</v>
      </c>
      <c r="E83" s="1" t="s">
        <v>30</v>
      </c>
      <c r="F83" s="1">
        <v>3</v>
      </c>
      <c r="G83" s="1" t="s">
        <v>43</v>
      </c>
      <c r="H83" s="3">
        <f t="shared" si="1"/>
        <v>0.19780219780219779</v>
      </c>
      <c r="I83" s="1" t="s">
        <v>198</v>
      </c>
      <c r="J83" s="1" t="s">
        <v>199</v>
      </c>
      <c r="K83" s="1" t="s">
        <v>23</v>
      </c>
      <c r="L83" s="1" t="s">
        <v>50</v>
      </c>
      <c r="M83" s="1" t="s">
        <v>44</v>
      </c>
      <c r="N83" s="1"/>
      <c r="O83" s="1">
        <v>18</v>
      </c>
      <c r="P83" s="1">
        <v>91</v>
      </c>
    </row>
    <row r="84" spans="1:16" ht="24" customHeight="1">
      <c r="A84" s="1" t="s">
        <v>193</v>
      </c>
      <c r="B84" s="1">
        <v>80</v>
      </c>
      <c r="C84" s="1" t="s">
        <v>17</v>
      </c>
      <c r="D84" s="1" t="s">
        <v>39</v>
      </c>
      <c r="E84" s="1" t="s">
        <v>34</v>
      </c>
      <c r="F84" s="1">
        <v>6</v>
      </c>
      <c r="G84" s="1" t="s">
        <v>88</v>
      </c>
      <c r="H84" s="3">
        <f t="shared" si="1"/>
        <v>1</v>
      </c>
      <c r="I84" s="1" t="s">
        <v>200</v>
      </c>
      <c r="J84" s="1" t="s">
        <v>201</v>
      </c>
      <c r="K84" s="1" t="s">
        <v>23</v>
      </c>
      <c r="L84" s="1" t="s">
        <v>53</v>
      </c>
      <c r="M84" s="1" t="s">
        <v>91</v>
      </c>
      <c r="N84" s="1"/>
      <c r="O84" s="1">
        <v>92</v>
      </c>
      <c r="P84" s="1">
        <v>92</v>
      </c>
    </row>
    <row r="85" spans="1:16" ht="24" customHeight="1">
      <c r="A85" s="1" t="s">
        <v>202</v>
      </c>
      <c r="B85" s="1">
        <v>83</v>
      </c>
      <c r="C85" s="1" t="s">
        <v>17</v>
      </c>
      <c r="D85" s="1" t="s">
        <v>18</v>
      </c>
      <c r="E85" s="1" t="s">
        <v>19</v>
      </c>
      <c r="F85" s="1">
        <v>0</v>
      </c>
      <c r="G85" s="1" t="s">
        <v>20</v>
      </c>
      <c r="H85" s="3">
        <f t="shared" si="1"/>
        <v>1</v>
      </c>
      <c r="I85" s="1" t="s">
        <v>203</v>
      </c>
      <c r="J85" s="1" t="s">
        <v>204</v>
      </c>
      <c r="K85" s="1" t="s">
        <v>23</v>
      </c>
      <c r="L85" s="1" t="s">
        <v>24</v>
      </c>
      <c r="M85" s="1" t="s">
        <v>25</v>
      </c>
      <c r="N85" s="1"/>
      <c r="O85" s="1">
        <v>92</v>
      </c>
      <c r="P85" s="1">
        <v>92</v>
      </c>
    </row>
    <row r="86" spans="1:16" ht="24" customHeight="1">
      <c r="A86" s="1" t="s">
        <v>202</v>
      </c>
      <c r="B86" s="1">
        <v>83</v>
      </c>
      <c r="C86" s="1" t="s">
        <v>17</v>
      </c>
      <c r="D86" s="1" t="s">
        <v>18</v>
      </c>
      <c r="E86" s="1" t="s">
        <v>26</v>
      </c>
      <c r="F86" s="1">
        <v>1</v>
      </c>
      <c r="G86" s="1" t="s">
        <v>20</v>
      </c>
      <c r="H86" s="3">
        <f t="shared" si="1"/>
        <v>1</v>
      </c>
      <c r="I86" s="1" t="s">
        <v>205</v>
      </c>
      <c r="J86" s="1" t="s">
        <v>206</v>
      </c>
      <c r="K86" s="1" t="s">
        <v>23</v>
      </c>
      <c r="L86" s="1" t="s">
        <v>29</v>
      </c>
      <c r="M86" s="1" t="s">
        <v>25</v>
      </c>
      <c r="N86" s="1"/>
      <c r="O86" s="1">
        <v>92</v>
      </c>
      <c r="P86" s="1">
        <v>92</v>
      </c>
    </row>
    <row r="87" spans="1:16" ht="24" customHeight="1">
      <c r="A87" s="1" t="s">
        <v>202</v>
      </c>
      <c r="B87" s="1">
        <v>83</v>
      </c>
      <c r="C87" s="1" t="s">
        <v>17</v>
      </c>
      <c r="D87" s="1" t="s">
        <v>18</v>
      </c>
      <c r="E87" s="1" t="s">
        <v>30</v>
      </c>
      <c r="F87" s="1">
        <v>3</v>
      </c>
      <c r="G87" s="1" t="s">
        <v>20</v>
      </c>
      <c r="H87" s="3">
        <f t="shared" si="1"/>
        <v>1</v>
      </c>
      <c r="I87" s="1" t="s">
        <v>207</v>
      </c>
      <c r="J87" s="1" t="s">
        <v>208</v>
      </c>
      <c r="K87" s="1" t="s">
        <v>23</v>
      </c>
      <c r="L87" s="1" t="s">
        <v>33</v>
      </c>
      <c r="M87" s="1" t="s">
        <v>25</v>
      </c>
      <c r="N87" s="1"/>
      <c r="O87" s="1">
        <v>92</v>
      </c>
      <c r="P87" s="1">
        <v>92</v>
      </c>
    </row>
    <row r="88" spans="1:16" ht="24" customHeight="1">
      <c r="A88" s="1" t="s">
        <v>202</v>
      </c>
      <c r="B88" s="1">
        <v>83</v>
      </c>
      <c r="C88" s="1" t="s">
        <v>17</v>
      </c>
      <c r="D88" s="1" t="s">
        <v>18</v>
      </c>
      <c r="E88" s="1" t="s">
        <v>34</v>
      </c>
      <c r="F88" s="1">
        <v>6</v>
      </c>
      <c r="G88" s="1" t="s">
        <v>20</v>
      </c>
      <c r="H88" s="3">
        <f t="shared" si="1"/>
        <v>1</v>
      </c>
      <c r="I88" s="1" t="s">
        <v>209</v>
      </c>
      <c r="J88" s="1" t="s">
        <v>210</v>
      </c>
      <c r="K88" s="1" t="s">
        <v>23</v>
      </c>
      <c r="L88" s="1" t="s">
        <v>37</v>
      </c>
      <c r="M88" s="1" t="s">
        <v>25</v>
      </c>
      <c r="N88" s="1"/>
      <c r="O88" s="1">
        <v>92</v>
      </c>
      <c r="P88" s="1">
        <v>92</v>
      </c>
    </row>
    <row r="89" spans="1:16" ht="24" customHeight="1">
      <c r="A89" s="1" t="s">
        <v>211</v>
      </c>
      <c r="B89" s="1">
        <v>84</v>
      </c>
      <c r="C89" s="1" t="s">
        <v>17</v>
      </c>
      <c r="D89" s="1" t="s">
        <v>39</v>
      </c>
      <c r="E89" s="1" t="s">
        <v>19</v>
      </c>
      <c r="F89" s="1">
        <v>0</v>
      </c>
      <c r="G89" s="1" t="s">
        <v>108</v>
      </c>
      <c r="H89" s="3">
        <f t="shared" si="1"/>
        <v>1</v>
      </c>
      <c r="I89" s="1" t="s">
        <v>212</v>
      </c>
      <c r="J89" s="1" t="s">
        <v>213</v>
      </c>
      <c r="K89" s="1" t="s">
        <v>23</v>
      </c>
      <c r="L89" s="1" t="s">
        <v>42</v>
      </c>
      <c r="M89" s="1" t="s">
        <v>111</v>
      </c>
      <c r="N89" s="1"/>
      <c r="O89" s="1">
        <v>92</v>
      </c>
      <c r="P89" s="1">
        <v>92</v>
      </c>
    </row>
    <row r="90" spans="1:16" ht="24" customHeight="1">
      <c r="A90" s="1" t="s">
        <v>211</v>
      </c>
      <c r="B90" s="1">
        <v>84</v>
      </c>
      <c r="C90" s="1" t="s">
        <v>17</v>
      </c>
      <c r="D90" s="1" t="s">
        <v>39</v>
      </c>
      <c r="E90" s="1" t="s">
        <v>26</v>
      </c>
      <c r="F90" s="1">
        <v>1</v>
      </c>
      <c r="G90" s="1" t="s">
        <v>108</v>
      </c>
      <c r="H90" s="3">
        <f t="shared" si="1"/>
        <v>1</v>
      </c>
      <c r="I90" s="1" t="s">
        <v>214</v>
      </c>
      <c r="J90" s="1" t="s">
        <v>215</v>
      </c>
      <c r="K90" s="1" t="s">
        <v>23</v>
      </c>
      <c r="L90" s="1" t="s">
        <v>47</v>
      </c>
      <c r="M90" s="1" t="s">
        <v>111</v>
      </c>
      <c r="N90" s="1"/>
      <c r="O90" s="1">
        <v>92</v>
      </c>
      <c r="P90" s="1">
        <v>92</v>
      </c>
    </row>
    <row r="91" spans="1:16" ht="24" customHeight="1">
      <c r="A91" s="1" t="s">
        <v>211</v>
      </c>
      <c r="B91" s="1">
        <v>84</v>
      </c>
      <c r="C91" s="1" t="s">
        <v>17</v>
      </c>
      <c r="D91" s="1" t="s">
        <v>39</v>
      </c>
      <c r="E91" s="1" t="s">
        <v>30</v>
      </c>
      <c r="F91" s="1">
        <v>3</v>
      </c>
      <c r="G91" s="1" t="s">
        <v>108</v>
      </c>
      <c r="H91" s="3">
        <f t="shared" si="1"/>
        <v>1</v>
      </c>
      <c r="I91" s="1" t="s">
        <v>216</v>
      </c>
      <c r="J91" s="1" t="s">
        <v>217</v>
      </c>
      <c r="K91" s="1" t="s">
        <v>23</v>
      </c>
      <c r="L91" s="1" t="s">
        <v>50</v>
      </c>
      <c r="M91" s="1" t="s">
        <v>111</v>
      </c>
      <c r="N91" s="1"/>
      <c r="O91" s="1">
        <v>92</v>
      </c>
      <c r="P91" s="1">
        <v>92</v>
      </c>
    </row>
    <row r="92" spans="1:16" ht="24" customHeight="1">
      <c r="A92" s="1" t="s">
        <v>211</v>
      </c>
      <c r="B92" s="1">
        <v>84</v>
      </c>
      <c r="C92" s="1" t="s">
        <v>17</v>
      </c>
      <c r="D92" s="1" t="s">
        <v>39</v>
      </c>
      <c r="E92" s="1" t="s">
        <v>34</v>
      </c>
      <c r="F92" s="1">
        <v>6</v>
      </c>
      <c r="G92" s="1" t="s">
        <v>108</v>
      </c>
      <c r="H92" s="3">
        <f t="shared" si="1"/>
        <v>1</v>
      </c>
      <c r="I92" s="1" t="s">
        <v>218</v>
      </c>
      <c r="J92" s="1" t="s">
        <v>219</v>
      </c>
      <c r="K92" s="1" t="s">
        <v>23</v>
      </c>
      <c r="L92" s="1" t="s">
        <v>53</v>
      </c>
      <c r="M92" s="1" t="s">
        <v>111</v>
      </c>
      <c r="N92" s="1"/>
      <c r="O92" s="1">
        <v>92</v>
      </c>
      <c r="P92" s="1">
        <v>92</v>
      </c>
    </row>
    <row r="93" spans="1:16" ht="24" customHeight="1">
      <c r="A93" s="1" t="s">
        <v>220</v>
      </c>
      <c r="B93" s="1">
        <v>75</v>
      </c>
      <c r="C93" s="1" t="s">
        <v>221</v>
      </c>
      <c r="D93" s="1" t="s">
        <v>18</v>
      </c>
      <c r="E93" s="1" t="s">
        <v>19</v>
      </c>
      <c r="F93" s="1">
        <v>0</v>
      </c>
      <c r="G93" s="1" t="s">
        <v>222</v>
      </c>
      <c r="H93" s="3">
        <f t="shared" si="1"/>
        <v>1</v>
      </c>
      <c r="I93" s="1" t="s">
        <v>223</v>
      </c>
      <c r="J93" s="1" t="s">
        <v>224</v>
      </c>
      <c r="K93" s="1" t="s">
        <v>225</v>
      </c>
      <c r="L93" s="1" t="s">
        <v>24</v>
      </c>
      <c r="M93" s="1" t="s">
        <v>226</v>
      </c>
      <c r="N93" s="1"/>
      <c r="O93" s="1">
        <v>96</v>
      </c>
      <c r="P93" s="1">
        <v>96</v>
      </c>
    </row>
    <row r="94" spans="1:16" ht="24" customHeight="1">
      <c r="A94" s="1" t="s">
        <v>220</v>
      </c>
      <c r="B94" s="1">
        <v>75</v>
      </c>
      <c r="C94" s="1" t="s">
        <v>221</v>
      </c>
      <c r="D94" s="1" t="s">
        <v>18</v>
      </c>
      <c r="E94" s="1" t="s">
        <v>26</v>
      </c>
      <c r="F94" s="1">
        <v>1</v>
      </c>
      <c r="G94" s="1" t="s">
        <v>222</v>
      </c>
      <c r="H94" s="3">
        <f t="shared" si="1"/>
        <v>1</v>
      </c>
      <c r="I94" s="1" t="s">
        <v>227</v>
      </c>
      <c r="J94" s="1" t="s">
        <v>228</v>
      </c>
      <c r="K94" s="1" t="s">
        <v>225</v>
      </c>
      <c r="L94" s="1" t="s">
        <v>29</v>
      </c>
      <c r="M94" s="1" t="s">
        <v>226</v>
      </c>
      <c r="N94" s="1"/>
      <c r="O94" s="1">
        <v>96</v>
      </c>
      <c r="P94" s="1">
        <v>96</v>
      </c>
    </row>
    <row r="95" spans="1:16" ht="24" customHeight="1">
      <c r="A95" s="1" t="s">
        <v>220</v>
      </c>
      <c r="B95" s="1">
        <v>75</v>
      </c>
      <c r="C95" s="1" t="s">
        <v>221</v>
      </c>
      <c r="D95" s="1" t="s">
        <v>18</v>
      </c>
      <c r="E95" s="1" t="s">
        <v>30</v>
      </c>
      <c r="F95" s="1">
        <v>3</v>
      </c>
      <c r="G95" s="1" t="s">
        <v>222</v>
      </c>
      <c r="H95" s="3">
        <f t="shared" si="1"/>
        <v>1</v>
      </c>
      <c r="I95" s="1" t="s">
        <v>229</v>
      </c>
      <c r="J95" s="1" t="s">
        <v>230</v>
      </c>
      <c r="K95" s="1" t="s">
        <v>225</v>
      </c>
      <c r="L95" s="1" t="s">
        <v>33</v>
      </c>
      <c r="M95" s="1" t="s">
        <v>226</v>
      </c>
      <c r="N95" s="1"/>
      <c r="O95" s="1">
        <v>96</v>
      </c>
      <c r="P95" s="1">
        <v>96</v>
      </c>
    </row>
    <row r="96" spans="1:16" ht="24" customHeight="1">
      <c r="A96" s="1" t="s">
        <v>220</v>
      </c>
      <c r="B96" s="1">
        <v>75</v>
      </c>
      <c r="C96" s="1" t="s">
        <v>221</v>
      </c>
      <c r="D96" s="1" t="s">
        <v>18</v>
      </c>
      <c r="E96" s="1" t="s">
        <v>34</v>
      </c>
      <c r="F96" s="1">
        <v>6</v>
      </c>
      <c r="G96" s="1" t="s">
        <v>222</v>
      </c>
      <c r="H96" s="3">
        <f t="shared" si="1"/>
        <v>1</v>
      </c>
      <c r="I96" s="1" t="s">
        <v>231</v>
      </c>
      <c r="J96" s="1" t="s">
        <v>232</v>
      </c>
      <c r="K96" s="1" t="s">
        <v>225</v>
      </c>
      <c r="L96" s="1" t="s">
        <v>37</v>
      </c>
      <c r="M96" s="1" t="s">
        <v>226</v>
      </c>
      <c r="N96" s="1"/>
      <c r="O96" s="1">
        <v>96</v>
      </c>
      <c r="P96" s="1">
        <v>96</v>
      </c>
    </row>
    <row r="97" spans="1:16" ht="24" customHeight="1">
      <c r="A97" s="1" t="s">
        <v>233</v>
      </c>
      <c r="B97" s="1">
        <v>76</v>
      </c>
      <c r="C97" s="1" t="s">
        <v>221</v>
      </c>
      <c r="D97" s="1" t="s">
        <v>18</v>
      </c>
      <c r="E97" s="1" t="s">
        <v>19</v>
      </c>
      <c r="F97" s="1">
        <v>0</v>
      </c>
      <c r="G97" s="1" t="s">
        <v>234</v>
      </c>
      <c r="H97" s="3">
        <f t="shared" si="1"/>
        <v>1</v>
      </c>
      <c r="I97" s="1" t="s">
        <v>235</v>
      </c>
      <c r="J97" s="1" t="s">
        <v>236</v>
      </c>
      <c r="K97" s="1" t="s">
        <v>225</v>
      </c>
      <c r="L97" s="1" t="s">
        <v>24</v>
      </c>
      <c r="M97" s="1" t="s">
        <v>237</v>
      </c>
      <c r="N97" s="1"/>
      <c r="O97" s="1">
        <v>96</v>
      </c>
      <c r="P97" s="1">
        <v>96</v>
      </c>
    </row>
    <row r="98" spans="1:16" ht="24" customHeight="1">
      <c r="A98" s="1" t="s">
        <v>233</v>
      </c>
      <c r="B98" s="1">
        <v>76</v>
      </c>
      <c r="C98" s="1" t="s">
        <v>221</v>
      </c>
      <c r="D98" s="1" t="s">
        <v>18</v>
      </c>
      <c r="E98" s="1" t="s">
        <v>26</v>
      </c>
      <c r="F98" s="1">
        <v>1</v>
      </c>
      <c r="G98" s="1" t="s">
        <v>238</v>
      </c>
      <c r="H98" s="3">
        <f t="shared" si="1"/>
        <v>1</v>
      </c>
      <c r="I98" s="1" t="s">
        <v>239</v>
      </c>
      <c r="J98" s="1" t="s">
        <v>240</v>
      </c>
      <c r="K98" s="1" t="s">
        <v>225</v>
      </c>
      <c r="L98" s="1" t="s">
        <v>29</v>
      </c>
      <c r="M98" s="1" t="s">
        <v>241</v>
      </c>
      <c r="N98" s="1"/>
      <c r="O98" s="1">
        <v>96</v>
      </c>
      <c r="P98" s="1">
        <v>96</v>
      </c>
    </row>
    <row r="99" spans="1:16" ht="24" customHeight="1">
      <c r="A99" s="1" t="s">
        <v>233</v>
      </c>
      <c r="B99" s="1">
        <v>76</v>
      </c>
      <c r="C99" s="1" t="s">
        <v>221</v>
      </c>
      <c r="D99" s="1" t="s">
        <v>18</v>
      </c>
      <c r="E99" s="1" t="s">
        <v>30</v>
      </c>
      <c r="F99" s="1">
        <v>3</v>
      </c>
      <c r="G99" s="1" t="s">
        <v>238</v>
      </c>
      <c r="H99" s="3">
        <f t="shared" si="1"/>
        <v>1</v>
      </c>
      <c r="I99" s="1" t="s">
        <v>242</v>
      </c>
      <c r="J99" s="1" t="s">
        <v>243</v>
      </c>
      <c r="K99" s="1" t="s">
        <v>225</v>
      </c>
      <c r="L99" s="1" t="s">
        <v>33</v>
      </c>
      <c r="M99" s="1" t="s">
        <v>241</v>
      </c>
      <c r="N99" s="1"/>
      <c r="O99" s="1">
        <v>96</v>
      </c>
      <c r="P99" s="1">
        <v>96</v>
      </c>
    </row>
    <row r="100" spans="1:16" ht="24" customHeight="1">
      <c r="A100" s="1" t="s">
        <v>233</v>
      </c>
      <c r="B100" s="1">
        <v>76</v>
      </c>
      <c r="C100" s="1" t="s">
        <v>221</v>
      </c>
      <c r="D100" s="1" t="s">
        <v>18</v>
      </c>
      <c r="E100" s="1" t="s">
        <v>34</v>
      </c>
      <c r="F100" s="1">
        <v>6</v>
      </c>
      <c r="G100" s="1" t="s">
        <v>238</v>
      </c>
      <c r="H100" s="3">
        <f t="shared" si="1"/>
        <v>1</v>
      </c>
      <c r="I100" s="1" t="s">
        <v>244</v>
      </c>
      <c r="J100" s="1" t="s">
        <v>245</v>
      </c>
      <c r="K100" s="1" t="s">
        <v>225</v>
      </c>
      <c r="L100" s="1" t="s">
        <v>37</v>
      </c>
      <c r="M100" s="1" t="s">
        <v>241</v>
      </c>
      <c r="N100" s="1"/>
      <c r="O100" s="1">
        <v>96</v>
      </c>
      <c r="P100" s="1">
        <v>96</v>
      </c>
    </row>
    <row r="101" spans="1:16" ht="24" customHeight="1">
      <c r="A101" s="1" t="s">
        <v>246</v>
      </c>
      <c r="B101" s="1">
        <v>87</v>
      </c>
      <c r="C101" s="1" t="s">
        <v>221</v>
      </c>
      <c r="D101" s="1" t="s">
        <v>18</v>
      </c>
      <c r="E101" s="1" t="s">
        <v>19</v>
      </c>
      <c r="F101" s="1">
        <v>0</v>
      </c>
      <c r="G101" s="1" t="s">
        <v>222</v>
      </c>
      <c r="H101" s="3">
        <f t="shared" si="1"/>
        <v>1</v>
      </c>
      <c r="I101" s="1" t="s">
        <v>247</v>
      </c>
      <c r="J101" s="1" t="s">
        <v>248</v>
      </c>
      <c r="K101" s="1" t="s">
        <v>225</v>
      </c>
      <c r="L101" s="1" t="s">
        <v>24</v>
      </c>
      <c r="M101" s="1" t="s">
        <v>226</v>
      </c>
      <c r="N101" s="1"/>
      <c r="O101" s="1">
        <v>96</v>
      </c>
      <c r="P101" s="1">
        <v>96</v>
      </c>
    </row>
    <row r="102" spans="1:16" ht="24" customHeight="1">
      <c r="A102" s="1" t="s">
        <v>246</v>
      </c>
      <c r="B102" s="1">
        <v>87</v>
      </c>
      <c r="C102" s="1" t="s">
        <v>221</v>
      </c>
      <c r="D102" s="1" t="s">
        <v>18</v>
      </c>
      <c r="E102" s="1" t="s">
        <v>26</v>
      </c>
      <c r="F102" s="1">
        <v>1</v>
      </c>
      <c r="G102" s="1" t="s">
        <v>238</v>
      </c>
      <c r="H102" s="3">
        <f t="shared" si="1"/>
        <v>1</v>
      </c>
      <c r="I102" s="1" t="s">
        <v>249</v>
      </c>
      <c r="J102" s="1" t="s">
        <v>250</v>
      </c>
      <c r="K102" s="1" t="s">
        <v>225</v>
      </c>
      <c r="L102" s="1" t="s">
        <v>29</v>
      </c>
      <c r="M102" s="1" t="s">
        <v>241</v>
      </c>
      <c r="N102" s="1"/>
      <c r="O102" s="1">
        <v>96</v>
      </c>
      <c r="P102" s="1">
        <v>96</v>
      </c>
    </row>
    <row r="103" spans="1:16" ht="24" customHeight="1">
      <c r="A103" s="1" t="s">
        <v>246</v>
      </c>
      <c r="B103" s="1">
        <v>87</v>
      </c>
      <c r="C103" s="1" t="s">
        <v>221</v>
      </c>
      <c r="D103" s="1" t="s">
        <v>18</v>
      </c>
      <c r="E103" s="1" t="s">
        <v>30</v>
      </c>
      <c r="F103" s="1">
        <v>3</v>
      </c>
      <c r="G103" s="1" t="s">
        <v>234</v>
      </c>
      <c r="H103" s="3">
        <f t="shared" si="1"/>
        <v>1</v>
      </c>
      <c r="I103" s="1" t="s">
        <v>251</v>
      </c>
      <c r="J103" s="1" t="s">
        <v>252</v>
      </c>
      <c r="K103" s="1" t="s">
        <v>225</v>
      </c>
      <c r="L103" s="1" t="s">
        <v>33</v>
      </c>
      <c r="M103" s="1" t="s">
        <v>237</v>
      </c>
      <c r="N103" s="1"/>
      <c r="O103" s="1">
        <v>96</v>
      </c>
      <c r="P103" s="1">
        <v>96</v>
      </c>
    </row>
    <row r="104" spans="1:16" ht="24" customHeight="1">
      <c r="A104" s="1" t="s">
        <v>246</v>
      </c>
      <c r="B104" s="1">
        <v>87</v>
      </c>
      <c r="C104" s="1" t="s">
        <v>221</v>
      </c>
      <c r="D104" s="1" t="s">
        <v>18</v>
      </c>
      <c r="E104" s="1" t="s">
        <v>34</v>
      </c>
      <c r="F104" s="1">
        <v>6</v>
      </c>
      <c r="G104" s="1" t="s">
        <v>234</v>
      </c>
      <c r="H104" s="3">
        <f t="shared" si="1"/>
        <v>1</v>
      </c>
      <c r="I104" s="1" t="s">
        <v>253</v>
      </c>
      <c r="J104" s="1" t="s">
        <v>254</v>
      </c>
      <c r="K104" s="1" t="s">
        <v>225</v>
      </c>
      <c r="L104" s="1" t="s">
        <v>37</v>
      </c>
      <c r="M104" s="1" t="s">
        <v>237</v>
      </c>
      <c r="N104" s="1"/>
      <c r="O104" s="1">
        <v>96</v>
      </c>
      <c r="P104" s="1">
        <v>96</v>
      </c>
    </row>
    <row r="105" spans="1:16" ht="24" customHeight="1">
      <c r="A105" s="1" t="s">
        <v>255</v>
      </c>
      <c r="B105" s="1">
        <v>88</v>
      </c>
      <c r="C105" s="1" t="s">
        <v>221</v>
      </c>
      <c r="D105" s="1" t="s">
        <v>18</v>
      </c>
      <c r="E105" s="1" t="s">
        <v>19</v>
      </c>
      <c r="F105" s="1">
        <v>0</v>
      </c>
      <c r="G105" s="1" t="s">
        <v>238</v>
      </c>
      <c r="H105" s="3">
        <f t="shared" si="1"/>
        <v>1</v>
      </c>
      <c r="I105" s="1" t="s">
        <v>256</v>
      </c>
      <c r="J105" s="1" t="s">
        <v>257</v>
      </c>
      <c r="K105" s="1" t="s">
        <v>225</v>
      </c>
      <c r="L105" s="1" t="s">
        <v>24</v>
      </c>
      <c r="M105" s="1" t="s">
        <v>241</v>
      </c>
      <c r="N105" s="1"/>
      <c r="O105" s="1">
        <v>96</v>
      </c>
      <c r="P105" s="1">
        <v>96</v>
      </c>
    </row>
    <row r="106" spans="1:16" ht="24" customHeight="1">
      <c r="A106" s="1" t="s">
        <v>255</v>
      </c>
      <c r="B106" s="1">
        <v>88</v>
      </c>
      <c r="C106" s="1" t="s">
        <v>221</v>
      </c>
      <c r="D106" s="1" t="s">
        <v>18</v>
      </c>
      <c r="E106" s="1" t="s">
        <v>26</v>
      </c>
      <c r="F106" s="1">
        <v>1</v>
      </c>
      <c r="G106" s="1" t="s">
        <v>238</v>
      </c>
      <c r="H106" s="3">
        <f t="shared" si="1"/>
        <v>1</v>
      </c>
      <c r="I106" s="1" t="s">
        <v>258</v>
      </c>
      <c r="J106" s="1" t="s">
        <v>259</v>
      </c>
      <c r="K106" s="1" t="s">
        <v>225</v>
      </c>
      <c r="L106" s="1" t="s">
        <v>29</v>
      </c>
      <c r="M106" s="1" t="s">
        <v>241</v>
      </c>
      <c r="N106" s="1"/>
      <c r="O106" s="1">
        <v>96</v>
      </c>
      <c r="P106" s="1">
        <v>96</v>
      </c>
    </row>
    <row r="107" spans="1:16" ht="24" customHeight="1">
      <c r="A107" s="1" t="s">
        <v>255</v>
      </c>
      <c r="B107" s="1">
        <v>88</v>
      </c>
      <c r="C107" s="1" t="s">
        <v>221</v>
      </c>
      <c r="D107" s="1" t="s">
        <v>18</v>
      </c>
      <c r="E107" s="1" t="s">
        <v>30</v>
      </c>
      <c r="F107" s="1">
        <v>3</v>
      </c>
      <c r="G107" s="1" t="s">
        <v>260</v>
      </c>
      <c r="H107" s="3">
        <f t="shared" si="1"/>
        <v>1</v>
      </c>
      <c r="I107" s="1" t="s">
        <v>261</v>
      </c>
      <c r="J107" s="1" t="s">
        <v>262</v>
      </c>
      <c r="K107" s="1" t="s">
        <v>225</v>
      </c>
      <c r="L107" s="1" t="s">
        <v>33</v>
      </c>
      <c r="M107" s="1" t="s">
        <v>263</v>
      </c>
      <c r="N107" s="1"/>
      <c r="O107" s="1">
        <v>96</v>
      </c>
      <c r="P107" s="1">
        <v>96</v>
      </c>
    </row>
    <row r="108" spans="1:16" ht="24" customHeight="1">
      <c r="A108" s="1" t="s">
        <v>255</v>
      </c>
      <c r="B108" s="1">
        <v>88</v>
      </c>
      <c r="C108" s="1" t="s">
        <v>221</v>
      </c>
      <c r="D108" s="1" t="s">
        <v>18</v>
      </c>
      <c r="E108" s="1" t="s">
        <v>34</v>
      </c>
      <c r="F108" s="1">
        <v>6</v>
      </c>
      <c r="G108" s="1" t="s">
        <v>234</v>
      </c>
      <c r="H108" s="3">
        <f t="shared" si="1"/>
        <v>1</v>
      </c>
      <c r="I108" s="1" t="s">
        <v>264</v>
      </c>
      <c r="J108" s="1" t="s">
        <v>265</v>
      </c>
      <c r="K108" s="1" t="s">
        <v>225</v>
      </c>
      <c r="L108" s="1" t="s">
        <v>37</v>
      </c>
      <c r="M108" s="1" t="s">
        <v>237</v>
      </c>
      <c r="N108" s="1"/>
      <c r="O108" s="1">
        <v>96</v>
      </c>
      <c r="P108" s="1">
        <v>96</v>
      </c>
    </row>
    <row r="109" spans="1:16" ht="24" customHeight="1">
      <c r="A109" s="1" t="s">
        <v>266</v>
      </c>
      <c r="B109" s="1">
        <v>89</v>
      </c>
      <c r="C109" s="1" t="s">
        <v>221</v>
      </c>
      <c r="D109" s="1" t="s">
        <v>18</v>
      </c>
      <c r="E109" s="1" t="s">
        <v>19</v>
      </c>
      <c r="F109" s="1">
        <v>0</v>
      </c>
      <c r="G109" s="1" t="s">
        <v>238</v>
      </c>
      <c r="H109" s="3">
        <f t="shared" si="1"/>
        <v>1</v>
      </c>
      <c r="I109" s="1" t="s">
        <v>267</v>
      </c>
      <c r="J109" s="1" t="s">
        <v>268</v>
      </c>
      <c r="K109" s="1" t="s">
        <v>225</v>
      </c>
      <c r="L109" s="1" t="s">
        <v>24</v>
      </c>
      <c r="M109" s="1" t="s">
        <v>241</v>
      </c>
      <c r="N109" s="1"/>
      <c r="O109" s="1">
        <v>96</v>
      </c>
      <c r="P109" s="1">
        <v>96</v>
      </c>
    </row>
    <row r="110" spans="1:16" ht="24" customHeight="1">
      <c r="A110" s="1" t="s">
        <v>266</v>
      </c>
      <c r="B110" s="1">
        <v>89</v>
      </c>
      <c r="C110" s="1" t="s">
        <v>221</v>
      </c>
      <c r="D110" s="1" t="s">
        <v>18</v>
      </c>
      <c r="E110" s="1" t="s">
        <v>26</v>
      </c>
      <c r="F110" s="1">
        <v>1</v>
      </c>
      <c r="G110" s="1" t="s">
        <v>238</v>
      </c>
      <c r="H110" s="3">
        <f t="shared" si="1"/>
        <v>1</v>
      </c>
      <c r="I110" s="1" t="s">
        <v>269</v>
      </c>
      <c r="J110" s="1" t="s">
        <v>270</v>
      </c>
      <c r="K110" s="1" t="s">
        <v>225</v>
      </c>
      <c r="L110" s="1" t="s">
        <v>29</v>
      </c>
      <c r="M110" s="1" t="s">
        <v>241</v>
      </c>
      <c r="N110" s="1"/>
      <c r="O110" s="1">
        <v>96</v>
      </c>
      <c r="P110" s="1">
        <v>96</v>
      </c>
    </row>
    <row r="111" spans="1:16" ht="24" customHeight="1">
      <c r="A111" s="1" t="s">
        <v>266</v>
      </c>
      <c r="B111" s="1">
        <v>89</v>
      </c>
      <c r="C111" s="1" t="s">
        <v>221</v>
      </c>
      <c r="D111" s="1" t="s">
        <v>18</v>
      </c>
      <c r="E111" s="1" t="s">
        <v>34</v>
      </c>
      <c r="F111" s="1">
        <v>6</v>
      </c>
      <c r="G111" s="1" t="s">
        <v>238</v>
      </c>
      <c r="H111" s="3">
        <f t="shared" si="1"/>
        <v>1</v>
      </c>
      <c r="I111" s="1" t="s">
        <v>271</v>
      </c>
      <c r="J111" s="1" t="s">
        <v>272</v>
      </c>
      <c r="K111" s="1" t="s">
        <v>225</v>
      </c>
      <c r="L111" s="1" t="s">
        <v>37</v>
      </c>
      <c r="M111" s="1" t="s">
        <v>241</v>
      </c>
      <c r="N111" s="1"/>
      <c r="O111" s="1">
        <v>96</v>
      </c>
      <c r="P111" s="1">
        <v>96</v>
      </c>
    </row>
    <row r="112" spans="1:16" ht="24" customHeight="1">
      <c r="A112" s="1" t="s">
        <v>273</v>
      </c>
      <c r="B112" s="1">
        <v>97</v>
      </c>
      <c r="C112" s="1" t="s">
        <v>221</v>
      </c>
      <c r="D112" s="1" t="s">
        <v>18</v>
      </c>
      <c r="E112" s="1" t="s">
        <v>19</v>
      </c>
      <c r="F112" s="1">
        <v>0</v>
      </c>
      <c r="G112" s="1" t="s">
        <v>222</v>
      </c>
      <c r="H112" s="3">
        <f t="shared" si="1"/>
        <v>1</v>
      </c>
      <c r="I112" s="1" t="s">
        <v>274</v>
      </c>
      <c r="J112" s="1" t="s">
        <v>275</v>
      </c>
      <c r="K112" s="1" t="s">
        <v>225</v>
      </c>
      <c r="L112" s="1" t="s">
        <v>24</v>
      </c>
      <c r="M112" s="1" t="s">
        <v>226</v>
      </c>
      <c r="N112" s="1"/>
      <c r="O112" s="1">
        <v>96</v>
      </c>
      <c r="P112" s="1">
        <v>96</v>
      </c>
    </row>
    <row r="113" spans="1:16" ht="24" customHeight="1">
      <c r="A113" s="1" t="s">
        <v>273</v>
      </c>
      <c r="B113" s="1">
        <v>97</v>
      </c>
      <c r="C113" s="1" t="s">
        <v>221</v>
      </c>
      <c r="D113" s="1" t="s">
        <v>18</v>
      </c>
      <c r="E113" s="1" t="s">
        <v>26</v>
      </c>
      <c r="F113" s="1">
        <v>1</v>
      </c>
      <c r="G113" s="1" t="s">
        <v>276</v>
      </c>
      <c r="H113" s="3">
        <f t="shared" si="1"/>
        <v>1</v>
      </c>
      <c r="I113" s="1" t="s">
        <v>277</v>
      </c>
      <c r="J113" s="1" t="s">
        <v>278</v>
      </c>
      <c r="K113" s="1" t="s">
        <v>225</v>
      </c>
      <c r="L113" s="1" t="s">
        <v>29</v>
      </c>
      <c r="M113" s="1" t="s">
        <v>279</v>
      </c>
      <c r="N113" s="1"/>
      <c r="O113" s="1">
        <v>96</v>
      </c>
      <c r="P113" s="1">
        <v>96</v>
      </c>
    </row>
    <row r="114" spans="1:16" ht="24" customHeight="1">
      <c r="A114" s="1" t="s">
        <v>273</v>
      </c>
      <c r="B114" s="1">
        <v>97</v>
      </c>
      <c r="C114" s="1" t="s">
        <v>221</v>
      </c>
      <c r="D114" s="1" t="s">
        <v>18</v>
      </c>
      <c r="E114" s="1" t="s">
        <v>30</v>
      </c>
      <c r="F114" s="1">
        <v>3</v>
      </c>
      <c r="G114" s="1" t="s">
        <v>280</v>
      </c>
      <c r="H114" s="3">
        <f t="shared" si="1"/>
        <v>1</v>
      </c>
      <c r="I114" s="1" t="s">
        <v>281</v>
      </c>
      <c r="J114" s="1" t="s">
        <v>282</v>
      </c>
      <c r="K114" s="1" t="s">
        <v>225</v>
      </c>
      <c r="L114" s="1" t="s">
        <v>33</v>
      </c>
      <c r="M114" s="1" t="s">
        <v>283</v>
      </c>
      <c r="N114" s="1"/>
      <c r="O114" s="1">
        <v>96</v>
      </c>
      <c r="P114" s="1">
        <v>96</v>
      </c>
    </row>
    <row r="115" spans="1:16" ht="24" customHeight="1">
      <c r="A115" s="1" t="s">
        <v>273</v>
      </c>
      <c r="B115" s="1">
        <v>97</v>
      </c>
      <c r="C115" s="1" t="s">
        <v>221</v>
      </c>
      <c r="D115" s="1" t="s">
        <v>18</v>
      </c>
      <c r="E115" s="1" t="s">
        <v>34</v>
      </c>
      <c r="F115" s="1">
        <v>6</v>
      </c>
      <c r="G115" s="1" t="s">
        <v>276</v>
      </c>
      <c r="H115" s="3">
        <f t="shared" si="1"/>
        <v>1</v>
      </c>
      <c r="I115" s="1" t="s">
        <v>284</v>
      </c>
      <c r="J115" s="1" t="s">
        <v>285</v>
      </c>
      <c r="K115" s="1" t="s">
        <v>225</v>
      </c>
      <c r="L115" s="1" t="s">
        <v>37</v>
      </c>
      <c r="M115" s="1" t="s">
        <v>279</v>
      </c>
      <c r="N115" s="1"/>
      <c r="O115" s="1">
        <v>96</v>
      </c>
      <c r="P115" s="1">
        <v>96</v>
      </c>
    </row>
    <row r="116" spans="1:16" ht="24" customHeight="1">
      <c r="A116" s="1" t="s">
        <v>286</v>
      </c>
      <c r="B116" s="1">
        <v>98</v>
      </c>
      <c r="C116" s="1" t="s">
        <v>221</v>
      </c>
      <c r="D116" s="1" t="s">
        <v>18</v>
      </c>
      <c r="E116" s="1" t="s">
        <v>19</v>
      </c>
      <c r="F116" s="1">
        <v>0</v>
      </c>
      <c r="G116" s="1" t="s">
        <v>238</v>
      </c>
      <c r="H116" s="3">
        <f t="shared" si="1"/>
        <v>1</v>
      </c>
      <c r="I116" s="1" t="s">
        <v>287</v>
      </c>
      <c r="J116" s="1" t="s">
        <v>288</v>
      </c>
      <c r="K116" s="1" t="s">
        <v>225</v>
      </c>
      <c r="L116" s="1" t="s">
        <v>24</v>
      </c>
      <c r="M116" s="1" t="s">
        <v>241</v>
      </c>
      <c r="N116" s="1"/>
      <c r="O116" s="1">
        <v>96</v>
      </c>
      <c r="P116" s="1">
        <v>96</v>
      </c>
    </row>
    <row r="117" spans="1:16" ht="24" customHeight="1">
      <c r="A117" s="1" t="s">
        <v>286</v>
      </c>
      <c r="B117" s="1">
        <v>98</v>
      </c>
      <c r="C117" s="1" t="s">
        <v>221</v>
      </c>
      <c r="D117" s="1" t="s">
        <v>18</v>
      </c>
      <c r="E117" s="1" t="s">
        <v>26</v>
      </c>
      <c r="F117" s="1">
        <v>1</v>
      </c>
      <c r="G117" s="1" t="s">
        <v>238</v>
      </c>
      <c r="H117" s="3">
        <f t="shared" si="1"/>
        <v>1</v>
      </c>
      <c r="I117" s="1" t="s">
        <v>289</v>
      </c>
      <c r="J117" s="1" t="s">
        <v>290</v>
      </c>
      <c r="K117" s="1" t="s">
        <v>225</v>
      </c>
      <c r="L117" s="1" t="s">
        <v>29</v>
      </c>
      <c r="M117" s="1" t="s">
        <v>241</v>
      </c>
      <c r="N117" s="1"/>
      <c r="O117" s="1">
        <v>96</v>
      </c>
      <c r="P117" s="1">
        <v>96</v>
      </c>
    </row>
    <row r="118" spans="1:16" ht="24" customHeight="1">
      <c r="A118" s="1" t="s">
        <v>286</v>
      </c>
      <c r="B118" s="1">
        <v>98</v>
      </c>
      <c r="C118" s="1" t="s">
        <v>221</v>
      </c>
      <c r="D118" s="1" t="s">
        <v>18</v>
      </c>
      <c r="E118" s="1" t="s">
        <v>30</v>
      </c>
      <c r="F118" s="1">
        <v>3</v>
      </c>
      <c r="G118" s="1" t="s">
        <v>234</v>
      </c>
      <c r="H118" s="3">
        <f t="shared" si="1"/>
        <v>1</v>
      </c>
      <c r="I118" s="1" t="s">
        <v>291</v>
      </c>
      <c r="J118" s="1" t="s">
        <v>292</v>
      </c>
      <c r="K118" s="1" t="s">
        <v>225</v>
      </c>
      <c r="L118" s="1" t="s">
        <v>33</v>
      </c>
      <c r="M118" s="1" t="s">
        <v>237</v>
      </c>
      <c r="N118" s="1"/>
      <c r="O118" s="1">
        <v>96</v>
      </c>
      <c r="P118" s="1">
        <v>96</v>
      </c>
    </row>
    <row r="119" spans="1:16" ht="24" customHeight="1">
      <c r="A119" s="1" t="s">
        <v>286</v>
      </c>
      <c r="B119" s="1">
        <v>98</v>
      </c>
      <c r="C119" s="1" t="s">
        <v>221</v>
      </c>
      <c r="D119" s="1" t="s">
        <v>18</v>
      </c>
      <c r="E119" s="1" t="s">
        <v>34</v>
      </c>
      <c r="F119" s="1">
        <v>6</v>
      </c>
      <c r="G119" s="1" t="s">
        <v>234</v>
      </c>
      <c r="H119" s="3">
        <f t="shared" si="1"/>
        <v>1</v>
      </c>
      <c r="I119" s="1" t="s">
        <v>293</v>
      </c>
      <c r="J119" s="1" t="s">
        <v>294</v>
      </c>
      <c r="K119" s="1" t="s">
        <v>225</v>
      </c>
      <c r="L119" s="1" t="s">
        <v>37</v>
      </c>
      <c r="M119" s="1" t="s">
        <v>237</v>
      </c>
      <c r="N119" s="1"/>
      <c r="O119" s="1">
        <v>96</v>
      </c>
      <c r="P119" s="1">
        <v>96</v>
      </c>
    </row>
    <row r="120" spans="1:16" ht="24" customHeight="1">
      <c r="A120" s="1" t="s">
        <v>295</v>
      </c>
      <c r="B120" s="1">
        <v>99</v>
      </c>
      <c r="C120" s="1" t="s">
        <v>221</v>
      </c>
      <c r="D120" s="1" t="s">
        <v>18</v>
      </c>
      <c r="E120" s="1" t="s">
        <v>19</v>
      </c>
      <c r="F120" s="1">
        <v>0</v>
      </c>
      <c r="G120" s="1" t="s">
        <v>234</v>
      </c>
      <c r="H120" s="3">
        <f t="shared" si="1"/>
        <v>1</v>
      </c>
      <c r="I120" s="1" t="s">
        <v>296</v>
      </c>
      <c r="J120" s="1" t="s">
        <v>297</v>
      </c>
      <c r="K120" s="1" t="s">
        <v>225</v>
      </c>
      <c r="L120" s="1" t="s">
        <v>24</v>
      </c>
      <c r="M120" s="1" t="s">
        <v>237</v>
      </c>
      <c r="N120" s="1"/>
      <c r="O120" s="1">
        <v>96</v>
      </c>
      <c r="P120" s="1">
        <v>96</v>
      </c>
    </row>
    <row r="121" spans="1:16" ht="24" customHeight="1">
      <c r="A121" s="1" t="s">
        <v>295</v>
      </c>
      <c r="B121" s="1">
        <v>99</v>
      </c>
      <c r="C121" s="1" t="s">
        <v>221</v>
      </c>
      <c r="D121" s="1" t="s">
        <v>18</v>
      </c>
      <c r="E121" s="1" t="s">
        <v>26</v>
      </c>
      <c r="F121" s="1">
        <v>1</v>
      </c>
      <c r="G121" s="1" t="s">
        <v>234</v>
      </c>
      <c r="H121" s="3">
        <f t="shared" si="1"/>
        <v>1</v>
      </c>
      <c r="I121" s="1" t="s">
        <v>298</v>
      </c>
      <c r="J121" s="1" t="s">
        <v>299</v>
      </c>
      <c r="K121" s="1" t="s">
        <v>225</v>
      </c>
      <c r="L121" s="1" t="s">
        <v>29</v>
      </c>
      <c r="M121" s="1" t="s">
        <v>237</v>
      </c>
      <c r="N121" s="1"/>
      <c r="O121" s="1">
        <v>96</v>
      </c>
      <c r="P121" s="1">
        <v>96</v>
      </c>
    </row>
    <row r="122" spans="1:16" ht="24" customHeight="1">
      <c r="A122" s="1" t="s">
        <v>295</v>
      </c>
      <c r="B122" s="1">
        <v>99</v>
      </c>
      <c r="C122" s="1" t="s">
        <v>221</v>
      </c>
      <c r="D122" s="1" t="s">
        <v>18</v>
      </c>
      <c r="E122" s="1" t="s">
        <v>30</v>
      </c>
      <c r="F122" s="1">
        <v>3</v>
      </c>
      <c r="G122" s="1" t="s">
        <v>300</v>
      </c>
      <c r="H122" s="3">
        <f t="shared" si="1"/>
        <v>1</v>
      </c>
      <c r="I122" s="1" t="s">
        <v>301</v>
      </c>
      <c r="J122" s="1" t="s">
        <v>302</v>
      </c>
      <c r="K122" s="1" t="s">
        <v>225</v>
      </c>
      <c r="L122" s="1" t="s">
        <v>33</v>
      </c>
      <c r="M122" s="1" t="s">
        <v>303</v>
      </c>
      <c r="N122" s="1"/>
      <c r="O122" s="1">
        <v>96</v>
      </c>
      <c r="P122" s="1">
        <v>96</v>
      </c>
    </row>
    <row r="123" spans="1:16" ht="24" customHeight="1">
      <c r="A123" s="1" t="s">
        <v>295</v>
      </c>
      <c r="B123" s="1">
        <v>99</v>
      </c>
      <c r="C123" s="1" t="s">
        <v>221</v>
      </c>
      <c r="D123" s="1" t="s">
        <v>18</v>
      </c>
      <c r="E123" s="1" t="s">
        <v>34</v>
      </c>
      <c r="F123" s="1">
        <v>6</v>
      </c>
      <c r="G123" s="1" t="s">
        <v>238</v>
      </c>
      <c r="H123" s="3">
        <f t="shared" si="1"/>
        <v>1</v>
      </c>
      <c r="I123" s="1" t="s">
        <v>304</v>
      </c>
      <c r="J123" s="1" t="s">
        <v>305</v>
      </c>
      <c r="K123" s="1" t="s">
        <v>225</v>
      </c>
      <c r="L123" s="1" t="s">
        <v>37</v>
      </c>
      <c r="M123" s="1" t="s">
        <v>241</v>
      </c>
      <c r="N123" s="1"/>
      <c r="O123" s="1">
        <v>96</v>
      </c>
      <c r="P123" s="1">
        <v>96</v>
      </c>
    </row>
    <row r="124" spans="1:16" ht="24" customHeight="1">
      <c r="A124" s="1" t="s">
        <v>306</v>
      </c>
      <c r="B124" s="1">
        <v>55</v>
      </c>
      <c r="C124" s="1" t="s">
        <v>307</v>
      </c>
      <c r="D124" s="1" t="s">
        <v>18</v>
      </c>
      <c r="E124" s="1" t="s">
        <v>19</v>
      </c>
      <c r="F124" s="1">
        <v>0</v>
      </c>
      <c r="G124" s="1" t="s">
        <v>308</v>
      </c>
      <c r="H124" s="3">
        <f t="shared" si="1"/>
        <v>1</v>
      </c>
      <c r="I124" s="1" t="s">
        <v>309</v>
      </c>
      <c r="J124" s="1" t="s">
        <v>310</v>
      </c>
      <c r="K124" s="1" t="s">
        <v>311</v>
      </c>
      <c r="L124" s="1" t="s">
        <v>24</v>
      </c>
      <c r="M124" s="1" t="s">
        <v>312</v>
      </c>
      <c r="N124" s="1"/>
      <c r="O124" s="1">
        <v>93</v>
      </c>
      <c r="P124" s="1">
        <v>93</v>
      </c>
    </row>
    <row r="125" spans="1:16" ht="24" customHeight="1">
      <c r="A125" s="1" t="s">
        <v>306</v>
      </c>
      <c r="B125" s="1">
        <v>55</v>
      </c>
      <c r="C125" s="1" t="s">
        <v>307</v>
      </c>
      <c r="D125" s="1" t="s">
        <v>18</v>
      </c>
      <c r="E125" s="1" t="s">
        <v>26</v>
      </c>
      <c r="F125" s="1">
        <v>1</v>
      </c>
      <c r="G125" s="1" t="s">
        <v>313</v>
      </c>
      <c r="H125" s="3">
        <f t="shared" si="1"/>
        <v>1</v>
      </c>
      <c r="I125" s="1" t="s">
        <v>314</v>
      </c>
      <c r="J125" s="1" t="s">
        <v>315</v>
      </c>
      <c r="K125" s="1" t="s">
        <v>311</v>
      </c>
      <c r="L125" s="1" t="s">
        <v>29</v>
      </c>
      <c r="M125" s="1" t="s">
        <v>316</v>
      </c>
      <c r="N125" s="1"/>
      <c r="O125" s="1">
        <v>93</v>
      </c>
      <c r="P125" s="1">
        <v>93</v>
      </c>
    </row>
    <row r="126" spans="1:16" ht="24" customHeight="1">
      <c r="A126" s="1" t="s">
        <v>306</v>
      </c>
      <c r="B126" s="1">
        <v>55</v>
      </c>
      <c r="C126" s="1" t="s">
        <v>307</v>
      </c>
      <c r="D126" s="1" t="s">
        <v>18</v>
      </c>
      <c r="E126" s="1" t="s">
        <v>30</v>
      </c>
      <c r="F126" s="1">
        <v>3</v>
      </c>
      <c r="G126" s="1" t="s">
        <v>313</v>
      </c>
      <c r="H126" s="3">
        <f t="shared" si="1"/>
        <v>1</v>
      </c>
      <c r="I126" s="1" t="s">
        <v>317</v>
      </c>
      <c r="J126" s="1" t="s">
        <v>318</v>
      </c>
      <c r="K126" s="1" t="s">
        <v>311</v>
      </c>
      <c r="L126" s="1" t="s">
        <v>33</v>
      </c>
      <c r="M126" s="1" t="s">
        <v>316</v>
      </c>
      <c r="N126" s="1"/>
      <c r="O126" s="1">
        <v>93</v>
      </c>
      <c r="P126" s="1">
        <v>93</v>
      </c>
    </row>
    <row r="127" spans="1:16" ht="24" customHeight="1">
      <c r="A127" s="1" t="s">
        <v>306</v>
      </c>
      <c r="B127" s="1">
        <v>55</v>
      </c>
      <c r="C127" s="1" t="s">
        <v>307</v>
      </c>
      <c r="D127" s="1" t="s">
        <v>18</v>
      </c>
      <c r="E127" s="1" t="s">
        <v>34</v>
      </c>
      <c r="F127" s="1">
        <v>6</v>
      </c>
      <c r="G127" s="1" t="s">
        <v>313</v>
      </c>
      <c r="H127" s="3">
        <f t="shared" si="1"/>
        <v>1</v>
      </c>
      <c r="I127" s="1" t="s">
        <v>319</v>
      </c>
      <c r="J127" s="1" t="s">
        <v>320</v>
      </c>
      <c r="K127" s="1" t="s">
        <v>311</v>
      </c>
      <c r="L127" s="1" t="s">
        <v>37</v>
      </c>
      <c r="M127" s="1" t="s">
        <v>316</v>
      </c>
      <c r="N127" s="1"/>
      <c r="O127" s="1">
        <v>93</v>
      </c>
      <c r="P127" s="1">
        <v>93</v>
      </c>
    </row>
    <row r="128" spans="1:16" ht="24" customHeight="1">
      <c r="A128" s="1" t="s">
        <v>321</v>
      </c>
      <c r="B128" s="1">
        <v>56</v>
      </c>
      <c r="C128" s="1" t="s">
        <v>307</v>
      </c>
      <c r="D128" s="1" t="s">
        <v>39</v>
      </c>
      <c r="E128" s="1" t="s">
        <v>19</v>
      </c>
      <c r="F128" s="1">
        <v>0</v>
      </c>
      <c r="G128" s="1" t="s">
        <v>322</v>
      </c>
      <c r="H128" s="3">
        <f t="shared" si="1"/>
        <v>1</v>
      </c>
      <c r="I128" s="1" t="s">
        <v>323</v>
      </c>
      <c r="J128" s="1" t="s">
        <v>324</v>
      </c>
      <c r="K128" s="1" t="s">
        <v>311</v>
      </c>
      <c r="L128" s="1" t="s">
        <v>42</v>
      </c>
      <c r="M128" s="1" t="s">
        <v>325</v>
      </c>
      <c r="N128" s="1"/>
      <c r="O128" s="1">
        <v>93</v>
      </c>
      <c r="P128" s="1">
        <v>93</v>
      </c>
    </row>
    <row r="129" spans="1:16" ht="24" customHeight="1">
      <c r="A129" s="1" t="s">
        <v>321</v>
      </c>
      <c r="B129" s="1">
        <v>56</v>
      </c>
      <c r="C129" s="1" t="s">
        <v>307</v>
      </c>
      <c r="D129" s="1" t="s">
        <v>39</v>
      </c>
      <c r="E129" s="1" t="s">
        <v>26</v>
      </c>
      <c r="F129" s="1">
        <v>1</v>
      </c>
      <c r="G129" s="1" t="s">
        <v>326</v>
      </c>
      <c r="H129" s="3">
        <f t="shared" si="1"/>
        <v>1</v>
      </c>
      <c r="I129" s="1" t="s">
        <v>327</v>
      </c>
      <c r="J129" s="1" t="s">
        <v>328</v>
      </c>
      <c r="K129" s="1" t="s">
        <v>311</v>
      </c>
      <c r="L129" s="1" t="s">
        <v>47</v>
      </c>
      <c r="M129" s="1" t="s">
        <v>329</v>
      </c>
      <c r="N129" s="1"/>
      <c r="O129" s="1">
        <v>93</v>
      </c>
      <c r="P129" s="1">
        <v>93</v>
      </c>
    </row>
    <row r="130" spans="1:16" ht="24" customHeight="1">
      <c r="A130" s="1" t="s">
        <v>321</v>
      </c>
      <c r="B130" s="1">
        <v>56</v>
      </c>
      <c r="C130" s="1" t="s">
        <v>307</v>
      </c>
      <c r="D130" s="1" t="s">
        <v>39</v>
      </c>
      <c r="E130" s="1" t="s">
        <v>30</v>
      </c>
      <c r="F130" s="1">
        <v>3</v>
      </c>
      <c r="G130" s="1" t="s">
        <v>326</v>
      </c>
      <c r="H130" s="3">
        <f t="shared" ref="H130:H193" si="2">O130/P130</f>
        <v>1</v>
      </c>
      <c r="I130" s="1" t="s">
        <v>330</v>
      </c>
      <c r="J130" s="1" t="s">
        <v>331</v>
      </c>
      <c r="K130" s="1" t="s">
        <v>311</v>
      </c>
      <c r="L130" s="1" t="s">
        <v>50</v>
      </c>
      <c r="M130" s="1" t="s">
        <v>329</v>
      </c>
      <c r="N130" s="1"/>
      <c r="O130" s="1">
        <v>93</v>
      </c>
      <c r="P130" s="1">
        <v>93</v>
      </c>
    </row>
    <row r="131" spans="1:16" ht="24" customHeight="1">
      <c r="A131" s="1" t="s">
        <v>321</v>
      </c>
      <c r="B131" s="1">
        <v>56</v>
      </c>
      <c r="C131" s="1" t="s">
        <v>307</v>
      </c>
      <c r="D131" s="1" t="s">
        <v>39</v>
      </c>
      <c r="E131" s="1" t="s">
        <v>34</v>
      </c>
      <c r="F131" s="1">
        <v>6</v>
      </c>
      <c r="G131" s="1" t="s">
        <v>322</v>
      </c>
      <c r="H131" s="3">
        <f t="shared" si="2"/>
        <v>1</v>
      </c>
      <c r="I131" s="1" t="s">
        <v>332</v>
      </c>
      <c r="J131" s="1" t="s">
        <v>333</v>
      </c>
      <c r="K131" s="1" t="s">
        <v>311</v>
      </c>
      <c r="L131" s="1" t="s">
        <v>53</v>
      </c>
      <c r="M131" s="1" t="s">
        <v>325</v>
      </c>
      <c r="N131" s="1"/>
      <c r="O131" s="1">
        <v>93</v>
      </c>
      <c r="P131" s="1">
        <v>93</v>
      </c>
    </row>
    <row r="132" spans="1:16" ht="24" customHeight="1">
      <c r="A132" s="1" t="s">
        <v>334</v>
      </c>
      <c r="B132" s="1">
        <v>59</v>
      </c>
      <c r="C132" s="1" t="s">
        <v>307</v>
      </c>
      <c r="D132" s="1" t="s">
        <v>18</v>
      </c>
      <c r="E132" s="1" t="s">
        <v>19</v>
      </c>
      <c r="F132" s="1">
        <v>0</v>
      </c>
      <c r="G132" s="1" t="s">
        <v>322</v>
      </c>
      <c r="H132" s="3">
        <f t="shared" si="2"/>
        <v>1</v>
      </c>
      <c r="I132" s="1" t="s">
        <v>335</v>
      </c>
      <c r="J132" s="1" t="s">
        <v>336</v>
      </c>
      <c r="K132" s="1" t="s">
        <v>311</v>
      </c>
      <c r="L132" s="1" t="s">
        <v>24</v>
      </c>
      <c r="M132" s="1" t="s">
        <v>325</v>
      </c>
      <c r="N132" s="1"/>
      <c r="O132" s="1">
        <v>93</v>
      </c>
      <c r="P132" s="1">
        <v>93</v>
      </c>
    </row>
    <row r="133" spans="1:16" ht="24" customHeight="1">
      <c r="A133" s="1" t="s">
        <v>334</v>
      </c>
      <c r="B133" s="1">
        <v>59</v>
      </c>
      <c r="C133" s="1" t="s">
        <v>307</v>
      </c>
      <c r="D133" s="1" t="s">
        <v>18</v>
      </c>
      <c r="E133" s="1" t="s">
        <v>26</v>
      </c>
      <c r="F133" s="1">
        <v>1</v>
      </c>
      <c r="G133" s="1" t="s">
        <v>322</v>
      </c>
      <c r="H133" s="3">
        <f t="shared" si="2"/>
        <v>1</v>
      </c>
      <c r="I133" s="1" t="s">
        <v>337</v>
      </c>
      <c r="J133" s="1" t="s">
        <v>338</v>
      </c>
      <c r="K133" s="1" t="s">
        <v>311</v>
      </c>
      <c r="L133" s="1" t="s">
        <v>29</v>
      </c>
      <c r="M133" s="1" t="s">
        <v>325</v>
      </c>
      <c r="N133" s="1"/>
      <c r="O133" s="1">
        <v>93</v>
      </c>
      <c r="P133" s="1">
        <v>93</v>
      </c>
    </row>
    <row r="134" spans="1:16" ht="24" customHeight="1">
      <c r="A134" s="1" t="s">
        <v>334</v>
      </c>
      <c r="B134" s="1">
        <v>59</v>
      </c>
      <c r="C134" s="1" t="s">
        <v>307</v>
      </c>
      <c r="D134" s="1" t="s">
        <v>18</v>
      </c>
      <c r="E134" s="1" t="s">
        <v>30</v>
      </c>
      <c r="F134" s="1">
        <v>3</v>
      </c>
      <c r="G134" s="1" t="s">
        <v>322</v>
      </c>
      <c r="H134" s="3">
        <f t="shared" si="2"/>
        <v>1</v>
      </c>
      <c r="I134" s="1" t="s">
        <v>339</v>
      </c>
      <c r="J134" s="1" t="s">
        <v>340</v>
      </c>
      <c r="K134" s="1" t="s">
        <v>311</v>
      </c>
      <c r="L134" s="1" t="s">
        <v>33</v>
      </c>
      <c r="M134" s="1" t="s">
        <v>325</v>
      </c>
      <c r="N134" s="1"/>
      <c r="O134" s="1">
        <v>93</v>
      </c>
      <c r="P134" s="1">
        <v>93</v>
      </c>
    </row>
    <row r="135" spans="1:16" ht="24" customHeight="1">
      <c r="A135" s="1" t="s">
        <v>334</v>
      </c>
      <c r="B135" s="1">
        <v>59</v>
      </c>
      <c r="C135" s="1" t="s">
        <v>307</v>
      </c>
      <c r="D135" s="1" t="s">
        <v>18</v>
      </c>
      <c r="E135" s="1" t="s">
        <v>34</v>
      </c>
      <c r="F135" s="1">
        <v>6</v>
      </c>
      <c r="G135" s="1" t="s">
        <v>322</v>
      </c>
      <c r="H135" s="3">
        <f t="shared" si="2"/>
        <v>1</v>
      </c>
      <c r="I135" s="1" t="s">
        <v>341</v>
      </c>
      <c r="J135" s="1" t="s">
        <v>342</v>
      </c>
      <c r="K135" s="1" t="s">
        <v>311</v>
      </c>
      <c r="L135" s="1" t="s">
        <v>37</v>
      </c>
      <c r="M135" s="1" t="s">
        <v>325</v>
      </c>
      <c r="N135" s="1"/>
      <c r="O135" s="1">
        <v>93</v>
      </c>
      <c r="P135" s="1">
        <v>93</v>
      </c>
    </row>
    <row r="136" spans="1:16" ht="24" customHeight="1">
      <c r="A136" s="1" t="s">
        <v>343</v>
      </c>
      <c r="B136" s="1">
        <v>60</v>
      </c>
      <c r="C136" s="1" t="s">
        <v>307</v>
      </c>
      <c r="D136" s="1" t="s">
        <v>39</v>
      </c>
      <c r="E136" s="1" t="s">
        <v>19</v>
      </c>
      <c r="F136" s="1">
        <v>0</v>
      </c>
      <c r="G136" s="1" t="s">
        <v>313</v>
      </c>
      <c r="H136" s="3">
        <f t="shared" si="2"/>
        <v>1</v>
      </c>
      <c r="I136" s="1" t="s">
        <v>344</v>
      </c>
      <c r="J136" s="1" t="s">
        <v>345</v>
      </c>
      <c r="K136" s="1" t="s">
        <v>311</v>
      </c>
      <c r="L136" s="1" t="s">
        <v>42</v>
      </c>
      <c r="M136" s="1" t="s">
        <v>316</v>
      </c>
      <c r="N136" s="1"/>
      <c r="O136" s="1">
        <v>93</v>
      </c>
      <c r="P136" s="1">
        <v>93</v>
      </c>
    </row>
    <row r="137" spans="1:16" ht="24" customHeight="1">
      <c r="A137" s="1" t="s">
        <v>343</v>
      </c>
      <c r="B137" s="1">
        <v>60</v>
      </c>
      <c r="C137" s="1" t="s">
        <v>307</v>
      </c>
      <c r="D137" s="1" t="s">
        <v>39</v>
      </c>
      <c r="E137" s="1" t="s">
        <v>26</v>
      </c>
      <c r="F137" s="1">
        <v>1</v>
      </c>
      <c r="G137" s="1" t="s">
        <v>313</v>
      </c>
      <c r="H137" s="3">
        <f t="shared" si="2"/>
        <v>1</v>
      </c>
      <c r="I137" s="1" t="s">
        <v>346</v>
      </c>
      <c r="J137" s="1" t="s">
        <v>347</v>
      </c>
      <c r="K137" s="1" t="s">
        <v>311</v>
      </c>
      <c r="L137" s="1" t="s">
        <v>47</v>
      </c>
      <c r="M137" s="1" t="s">
        <v>316</v>
      </c>
      <c r="N137" s="1"/>
      <c r="O137" s="1">
        <v>93</v>
      </c>
      <c r="P137" s="1">
        <v>93</v>
      </c>
    </row>
    <row r="138" spans="1:16" ht="24" customHeight="1">
      <c r="A138" s="1" t="s">
        <v>343</v>
      </c>
      <c r="B138" s="1">
        <v>60</v>
      </c>
      <c r="C138" s="1" t="s">
        <v>307</v>
      </c>
      <c r="D138" s="1" t="s">
        <v>39</v>
      </c>
      <c r="E138" s="1" t="s">
        <v>30</v>
      </c>
      <c r="F138" s="1">
        <v>3</v>
      </c>
      <c r="G138" s="1" t="s">
        <v>313</v>
      </c>
      <c r="H138" s="3">
        <f t="shared" si="2"/>
        <v>1</v>
      </c>
      <c r="I138" s="1" t="s">
        <v>348</v>
      </c>
      <c r="J138" s="1" t="s">
        <v>349</v>
      </c>
      <c r="K138" s="1" t="s">
        <v>311</v>
      </c>
      <c r="L138" s="1" t="s">
        <v>50</v>
      </c>
      <c r="M138" s="1" t="s">
        <v>316</v>
      </c>
      <c r="N138" s="1"/>
      <c r="O138" s="1">
        <v>93</v>
      </c>
      <c r="P138" s="1">
        <v>93</v>
      </c>
    </row>
    <row r="139" spans="1:16" ht="24" customHeight="1">
      <c r="A139" s="1" t="s">
        <v>343</v>
      </c>
      <c r="B139" s="1">
        <v>60</v>
      </c>
      <c r="C139" s="1" t="s">
        <v>307</v>
      </c>
      <c r="D139" s="1" t="s">
        <v>39</v>
      </c>
      <c r="E139" s="1" t="s">
        <v>34</v>
      </c>
      <c r="F139" s="1">
        <v>6</v>
      </c>
      <c r="G139" s="1" t="s">
        <v>350</v>
      </c>
      <c r="H139" s="3">
        <f t="shared" si="2"/>
        <v>1</v>
      </c>
      <c r="I139" s="1" t="s">
        <v>351</v>
      </c>
      <c r="J139" s="1" t="s">
        <v>352</v>
      </c>
      <c r="K139" s="1" t="s">
        <v>311</v>
      </c>
      <c r="L139" s="1" t="s">
        <v>53</v>
      </c>
      <c r="M139" s="1" t="s">
        <v>353</v>
      </c>
      <c r="N139" s="1"/>
      <c r="O139" s="1">
        <v>93</v>
      </c>
      <c r="P139" s="1">
        <v>93</v>
      </c>
    </row>
    <row r="140" spans="1:16" ht="24" customHeight="1">
      <c r="A140" s="1" t="s">
        <v>354</v>
      </c>
      <c r="B140" s="1">
        <v>61</v>
      </c>
      <c r="C140" s="1" t="s">
        <v>307</v>
      </c>
      <c r="D140" s="1" t="s">
        <v>18</v>
      </c>
      <c r="E140" s="1" t="s">
        <v>19</v>
      </c>
      <c r="F140" s="1">
        <v>0</v>
      </c>
      <c r="G140" s="1" t="s">
        <v>350</v>
      </c>
      <c r="H140" s="3">
        <f t="shared" si="2"/>
        <v>1</v>
      </c>
      <c r="I140" s="1" t="s">
        <v>355</v>
      </c>
      <c r="J140" s="1" t="s">
        <v>356</v>
      </c>
      <c r="K140" s="1" t="s">
        <v>311</v>
      </c>
      <c r="L140" s="1" t="s">
        <v>24</v>
      </c>
      <c r="M140" s="1" t="s">
        <v>353</v>
      </c>
      <c r="N140" s="1"/>
      <c r="O140" s="1">
        <v>93</v>
      </c>
      <c r="P140" s="1">
        <v>93</v>
      </c>
    </row>
    <row r="141" spans="1:16" ht="24" customHeight="1">
      <c r="A141" s="1" t="s">
        <v>354</v>
      </c>
      <c r="B141" s="1">
        <v>61</v>
      </c>
      <c r="C141" s="1" t="s">
        <v>307</v>
      </c>
      <c r="D141" s="1" t="s">
        <v>18</v>
      </c>
      <c r="E141" s="1" t="s">
        <v>26</v>
      </c>
      <c r="F141" s="1">
        <v>1</v>
      </c>
      <c r="G141" s="1" t="s">
        <v>350</v>
      </c>
      <c r="H141" s="3">
        <f t="shared" si="2"/>
        <v>1</v>
      </c>
      <c r="I141" s="1" t="s">
        <v>357</v>
      </c>
      <c r="J141" s="1" t="s">
        <v>358</v>
      </c>
      <c r="K141" s="1" t="s">
        <v>311</v>
      </c>
      <c r="L141" s="1" t="s">
        <v>29</v>
      </c>
      <c r="M141" s="1" t="s">
        <v>353</v>
      </c>
      <c r="N141" s="1"/>
      <c r="O141" s="1">
        <v>93</v>
      </c>
      <c r="P141" s="1">
        <v>93</v>
      </c>
    </row>
    <row r="142" spans="1:16" ht="24" customHeight="1">
      <c r="A142" s="1" t="s">
        <v>354</v>
      </c>
      <c r="B142" s="1">
        <v>61</v>
      </c>
      <c r="C142" s="1" t="s">
        <v>307</v>
      </c>
      <c r="D142" s="1" t="s">
        <v>18</v>
      </c>
      <c r="E142" s="1" t="s">
        <v>30</v>
      </c>
      <c r="F142" s="1">
        <v>3</v>
      </c>
      <c r="G142" s="1" t="s">
        <v>350</v>
      </c>
      <c r="H142" s="3">
        <f t="shared" si="2"/>
        <v>1</v>
      </c>
      <c r="I142" s="1" t="s">
        <v>359</v>
      </c>
      <c r="J142" s="1" t="s">
        <v>360</v>
      </c>
      <c r="K142" s="1" t="s">
        <v>311</v>
      </c>
      <c r="L142" s="1" t="s">
        <v>33</v>
      </c>
      <c r="M142" s="1" t="s">
        <v>353</v>
      </c>
      <c r="N142" s="1"/>
      <c r="O142" s="1">
        <v>93</v>
      </c>
      <c r="P142" s="1">
        <v>93</v>
      </c>
    </row>
    <row r="143" spans="1:16" ht="24" customHeight="1">
      <c r="A143" s="1" t="s">
        <v>354</v>
      </c>
      <c r="B143" s="1">
        <v>61</v>
      </c>
      <c r="C143" s="1" t="s">
        <v>307</v>
      </c>
      <c r="D143" s="1" t="s">
        <v>18</v>
      </c>
      <c r="E143" s="1" t="s">
        <v>34</v>
      </c>
      <c r="F143" s="1">
        <v>6</v>
      </c>
      <c r="G143" s="1" t="s">
        <v>350</v>
      </c>
      <c r="H143" s="3">
        <f t="shared" si="2"/>
        <v>1</v>
      </c>
      <c r="I143" s="1" t="s">
        <v>361</v>
      </c>
      <c r="J143" s="1" t="s">
        <v>362</v>
      </c>
      <c r="K143" s="1" t="s">
        <v>311</v>
      </c>
      <c r="L143" s="1" t="s">
        <v>37</v>
      </c>
      <c r="M143" s="1" t="s">
        <v>353</v>
      </c>
      <c r="N143" s="1"/>
      <c r="O143" s="1">
        <v>93</v>
      </c>
      <c r="P143" s="1">
        <v>93</v>
      </c>
    </row>
    <row r="144" spans="1:16" ht="24" customHeight="1">
      <c r="A144" s="1" t="s">
        <v>363</v>
      </c>
      <c r="B144" s="1">
        <v>62</v>
      </c>
      <c r="C144" s="1" t="s">
        <v>307</v>
      </c>
      <c r="D144" s="1" t="s">
        <v>39</v>
      </c>
      <c r="E144" s="1" t="s">
        <v>19</v>
      </c>
      <c r="F144" s="1">
        <v>0</v>
      </c>
      <c r="G144" s="1" t="s">
        <v>350</v>
      </c>
      <c r="H144" s="3">
        <f t="shared" si="2"/>
        <v>1</v>
      </c>
      <c r="I144" s="1" t="s">
        <v>364</v>
      </c>
      <c r="J144" s="1" t="s">
        <v>365</v>
      </c>
      <c r="K144" s="1" t="s">
        <v>311</v>
      </c>
      <c r="L144" s="1" t="s">
        <v>42</v>
      </c>
      <c r="M144" s="1" t="s">
        <v>353</v>
      </c>
      <c r="N144" s="1"/>
      <c r="O144" s="1">
        <v>93</v>
      </c>
      <c r="P144" s="1">
        <v>93</v>
      </c>
    </row>
    <row r="145" spans="1:16" ht="24" customHeight="1">
      <c r="A145" s="1" t="s">
        <v>363</v>
      </c>
      <c r="B145" s="1">
        <v>62</v>
      </c>
      <c r="C145" s="1" t="s">
        <v>307</v>
      </c>
      <c r="D145" s="1" t="s">
        <v>39</v>
      </c>
      <c r="E145" s="1" t="s">
        <v>26</v>
      </c>
      <c r="F145" s="1">
        <v>1</v>
      </c>
      <c r="G145" s="1" t="s">
        <v>350</v>
      </c>
      <c r="H145" s="3">
        <f t="shared" si="2"/>
        <v>1</v>
      </c>
      <c r="I145" s="1" t="s">
        <v>366</v>
      </c>
      <c r="J145" s="1" t="s">
        <v>367</v>
      </c>
      <c r="K145" s="1" t="s">
        <v>311</v>
      </c>
      <c r="L145" s="1" t="s">
        <v>47</v>
      </c>
      <c r="M145" s="1" t="s">
        <v>353</v>
      </c>
      <c r="N145" s="1"/>
      <c r="O145" s="1">
        <v>93</v>
      </c>
      <c r="P145" s="1">
        <v>93</v>
      </c>
    </row>
    <row r="146" spans="1:16" ht="24" customHeight="1">
      <c r="A146" s="1" t="s">
        <v>363</v>
      </c>
      <c r="B146" s="1">
        <v>62</v>
      </c>
      <c r="C146" s="1" t="s">
        <v>307</v>
      </c>
      <c r="D146" s="1" t="s">
        <v>39</v>
      </c>
      <c r="E146" s="1" t="s">
        <v>30</v>
      </c>
      <c r="F146" s="1">
        <v>3</v>
      </c>
      <c r="G146" s="1" t="s">
        <v>350</v>
      </c>
      <c r="H146" s="3">
        <f t="shared" si="2"/>
        <v>1</v>
      </c>
      <c r="I146" s="1" t="s">
        <v>368</v>
      </c>
      <c r="J146" s="1" t="s">
        <v>369</v>
      </c>
      <c r="K146" s="1" t="s">
        <v>311</v>
      </c>
      <c r="L146" s="1" t="s">
        <v>50</v>
      </c>
      <c r="M146" s="1" t="s">
        <v>353</v>
      </c>
      <c r="N146" s="1"/>
      <c r="O146" s="1">
        <v>93</v>
      </c>
      <c r="P146" s="1">
        <v>93</v>
      </c>
    </row>
    <row r="147" spans="1:16" ht="24" customHeight="1">
      <c r="A147" s="1" t="s">
        <v>363</v>
      </c>
      <c r="B147" s="1">
        <v>62</v>
      </c>
      <c r="C147" s="1" t="s">
        <v>307</v>
      </c>
      <c r="D147" s="1" t="s">
        <v>39</v>
      </c>
      <c r="E147" s="1" t="s">
        <v>34</v>
      </c>
      <c r="F147" s="1">
        <v>6</v>
      </c>
      <c r="G147" s="1" t="s">
        <v>350</v>
      </c>
      <c r="H147" s="3">
        <f t="shared" si="2"/>
        <v>1</v>
      </c>
      <c r="I147" s="1" t="s">
        <v>370</v>
      </c>
      <c r="J147" s="1" t="s">
        <v>371</v>
      </c>
      <c r="K147" s="1" t="s">
        <v>311</v>
      </c>
      <c r="L147" s="1" t="s">
        <v>53</v>
      </c>
      <c r="M147" s="1" t="s">
        <v>353</v>
      </c>
      <c r="N147" s="1"/>
      <c r="O147" s="1">
        <v>93</v>
      </c>
      <c r="P147" s="1">
        <v>93</v>
      </c>
    </row>
    <row r="148" spans="1:16" ht="24" customHeight="1">
      <c r="A148" s="1" t="s">
        <v>372</v>
      </c>
      <c r="B148" s="1">
        <v>63</v>
      </c>
      <c r="C148" s="1" t="s">
        <v>307</v>
      </c>
      <c r="D148" s="1" t="s">
        <v>18</v>
      </c>
      <c r="E148" s="1" t="s">
        <v>19</v>
      </c>
      <c r="F148" s="1">
        <v>0</v>
      </c>
      <c r="G148" s="1" t="s">
        <v>313</v>
      </c>
      <c r="H148" s="3">
        <f t="shared" si="2"/>
        <v>1</v>
      </c>
      <c r="I148" s="1" t="s">
        <v>373</v>
      </c>
      <c r="J148" s="1" t="s">
        <v>374</v>
      </c>
      <c r="K148" s="1" t="s">
        <v>311</v>
      </c>
      <c r="L148" s="1" t="s">
        <v>24</v>
      </c>
      <c r="M148" s="1" t="s">
        <v>316</v>
      </c>
      <c r="N148" s="1"/>
      <c r="O148" s="1">
        <v>93</v>
      </c>
      <c r="P148" s="1">
        <v>93</v>
      </c>
    </row>
    <row r="149" spans="1:16" ht="24" customHeight="1">
      <c r="A149" s="1" t="s">
        <v>372</v>
      </c>
      <c r="B149" s="1">
        <v>63</v>
      </c>
      <c r="C149" s="1" t="s">
        <v>307</v>
      </c>
      <c r="D149" s="1" t="s">
        <v>18</v>
      </c>
      <c r="E149" s="1" t="s">
        <v>26</v>
      </c>
      <c r="F149" s="1">
        <v>1</v>
      </c>
      <c r="G149" s="1" t="s">
        <v>313</v>
      </c>
      <c r="H149" s="3">
        <f t="shared" si="2"/>
        <v>1</v>
      </c>
      <c r="I149" s="1" t="s">
        <v>375</v>
      </c>
      <c r="J149" s="1" t="s">
        <v>376</v>
      </c>
      <c r="K149" s="1" t="s">
        <v>311</v>
      </c>
      <c r="L149" s="1" t="s">
        <v>29</v>
      </c>
      <c r="M149" s="1" t="s">
        <v>316</v>
      </c>
      <c r="N149" s="1"/>
      <c r="O149" s="1">
        <v>93</v>
      </c>
      <c r="P149" s="1">
        <v>93</v>
      </c>
    </row>
    <row r="150" spans="1:16" ht="24" customHeight="1">
      <c r="A150" s="1" t="s">
        <v>372</v>
      </c>
      <c r="B150" s="1">
        <v>63</v>
      </c>
      <c r="C150" s="1" t="s">
        <v>307</v>
      </c>
      <c r="D150" s="1" t="s">
        <v>18</v>
      </c>
      <c r="E150" s="1" t="s">
        <v>30</v>
      </c>
      <c r="F150" s="1">
        <v>3</v>
      </c>
      <c r="G150" s="1" t="s">
        <v>350</v>
      </c>
      <c r="H150" s="3">
        <f t="shared" si="2"/>
        <v>1</v>
      </c>
      <c r="I150" s="1" t="s">
        <v>377</v>
      </c>
      <c r="J150" s="1" t="s">
        <v>378</v>
      </c>
      <c r="K150" s="1" t="s">
        <v>311</v>
      </c>
      <c r="L150" s="1" t="s">
        <v>33</v>
      </c>
      <c r="M150" s="1" t="s">
        <v>353</v>
      </c>
      <c r="N150" s="1"/>
      <c r="O150" s="1">
        <v>93</v>
      </c>
      <c r="P150" s="1">
        <v>93</v>
      </c>
    </row>
    <row r="151" spans="1:16" ht="24" customHeight="1">
      <c r="A151" s="1" t="s">
        <v>372</v>
      </c>
      <c r="B151" s="1">
        <v>63</v>
      </c>
      <c r="C151" s="1" t="s">
        <v>307</v>
      </c>
      <c r="D151" s="1" t="s">
        <v>18</v>
      </c>
      <c r="E151" s="1" t="s">
        <v>34</v>
      </c>
      <c r="F151" s="1">
        <v>6</v>
      </c>
      <c r="G151" s="1" t="s">
        <v>350</v>
      </c>
      <c r="H151" s="3">
        <f t="shared" si="2"/>
        <v>1</v>
      </c>
      <c r="I151" s="1" t="s">
        <v>379</v>
      </c>
      <c r="J151" s="1" t="s">
        <v>380</v>
      </c>
      <c r="K151" s="1" t="s">
        <v>311</v>
      </c>
      <c r="L151" s="1" t="s">
        <v>37</v>
      </c>
      <c r="M151" s="1" t="s">
        <v>353</v>
      </c>
      <c r="N151" s="1"/>
      <c r="O151" s="1">
        <v>93</v>
      </c>
      <c r="P151" s="1">
        <v>93</v>
      </c>
    </row>
    <row r="152" spans="1:16" ht="24" customHeight="1">
      <c r="A152" s="1" t="s">
        <v>381</v>
      </c>
      <c r="B152" s="1">
        <v>64</v>
      </c>
      <c r="C152" s="1" t="s">
        <v>307</v>
      </c>
      <c r="D152" s="1" t="s">
        <v>39</v>
      </c>
      <c r="E152" s="1" t="s">
        <v>19</v>
      </c>
      <c r="F152" s="1">
        <v>0</v>
      </c>
      <c r="G152" s="1" t="s">
        <v>313</v>
      </c>
      <c r="H152" s="3">
        <f t="shared" si="2"/>
        <v>1</v>
      </c>
      <c r="I152" s="1" t="s">
        <v>382</v>
      </c>
      <c r="J152" s="1" t="s">
        <v>383</v>
      </c>
      <c r="K152" s="1" t="s">
        <v>311</v>
      </c>
      <c r="L152" s="1" t="s">
        <v>42</v>
      </c>
      <c r="M152" s="1" t="s">
        <v>316</v>
      </c>
      <c r="N152" s="1"/>
      <c r="O152" s="1">
        <v>93</v>
      </c>
      <c r="P152" s="1">
        <v>93</v>
      </c>
    </row>
    <row r="153" spans="1:16" ht="24" customHeight="1">
      <c r="A153" s="1" t="s">
        <v>381</v>
      </c>
      <c r="B153" s="1">
        <v>64</v>
      </c>
      <c r="C153" s="1" t="s">
        <v>307</v>
      </c>
      <c r="D153" s="1" t="s">
        <v>39</v>
      </c>
      <c r="E153" s="1" t="s">
        <v>26</v>
      </c>
      <c r="F153" s="1">
        <v>1</v>
      </c>
      <c r="G153" s="1" t="s">
        <v>313</v>
      </c>
      <c r="H153" s="3">
        <f t="shared" si="2"/>
        <v>1</v>
      </c>
      <c r="I153" s="1" t="s">
        <v>384</v>
      </c>
      <c r="J153" s="1" t="s">
        <v>385</v>
      </c>
      <c r="K153" s="1" t="s">
        <v>311</v>
      </c>
      <c r="L153" s="1" t="s">
        <v>47</v>
      </c>
      <c r="M153" s="1" t="s">
        <v>316</v>
      </c>
      <c r="N153" s="1"/>
      <c r="O153" s="1">
        <v>93</v>
      </c>
      <c r="P153" s="1">
        <v>93</v>
      </c>
    </row>
    <row r="154" spans="1:16" ht="24" customHeight="1">
      <c r="A154" s="1" t="s">
        <v>381</v>
      </c>
      <c r="B154" s="1">
        <v>64</v>
      </c>
      <c r="C154" s="1" t="s">
        <v>307</v>
      </c>
      <c r="D154" s="1" t="s">
        <v>39</v>
      </c>
      <c r="E154" s="1" t="s">
        <v>30</v>
      </c>
      <c r="F154" s="1">
        <v>3</v>
      </c>
      <c r="G154" s="1" t="s">
        <v>313</v>
      </c>
      <c r="H154" s="3">
        <f t="shared" si="2"/>
        <v>1</v>
      </c>
      <c r="I154" s="1" t="s">
        <v>386</v>
      </c>
      <c r="J154" s="1" t="s">
        <v>387</v>
      </c>
      <c r="K154" s="1" t="s">
        <v>311</v>
      </c>
      <c r="L154" s="1" t="s">
        <v>50</v>
      </c>
      <c r="M154" s="1" t="s">
        <v>316</v>
      </c>
      <c r="N154" s="1"/>
      <c r="O154" s="1">
        <v>93</v>
      </c>
      <c r="P154" s="1">
        <v>93</v>
      </c>
    </row>
    <row r="155" spans="1:16" ht="24" customHeight="1">
      <c r="A155" s="1" t="s">
        <v>381</v>
      </c>
      <c r="B155" s="1">
        <v>64</v>
      </c>
      <c r="C155" s="1" t="s">
        <v>307</v>
      </c>
      <c r="D155" s="1" t="s">
        <v>39</v>
      </c>
      <c r="E155" s="1" t="s">
        <v>34</v>
      </c>
      <c r="F155" s="1">
        <v>6</v>
      </c>
      <c r="G155" s="1" t="s">
        <v>313</v>
      </c>
      <c r="H155" s="3">
        <f t="shared" si="2"/>
        <v>0.92473118279569888</v>
      </c>
      <c r="I155" s="1" t="s">
        <v>388</v>
      </c>
      <c r="J155" s="1" t="s">
        <v>389</v>
      </c>
      <c r="K155" s="1" t="s">
        <v>311</v>
      </c>
      <c r="L155" s="1" t="s">
        <v>53</v>
      </c>
      <c r="M155" s="1" t="s">
        <v>316</v>
      </c>
      <c r="N155" s="1"/>
      <c r="O155" s="1">
        <v>86</v>
      </c>
      <c r="P155" s="1">
        <v>93</v>
      </c>
    </row>
    <row r="156" spans="1:16" ht="24" customHeight="1">
      <c r="A156" s="1" t="s">
        <v>381</v>
      </c>
      <c r="B156" s="1">
        <v>64</v>
      </c>
      <c r="C156" s="1" t="s">
        <v>307</v>
      </c>
      <c r="D156" s="1" t="s">
        <v>39</v>
      </c>
      <c r="E156" s="1" t="s">
        <v>34</v>
      </c>
      <c r="F156" s="1">
        <v>6</v>
      </c>
      <c r="G156" s="1" t="s">
        <v>280</v>
      </c>
      <c r="H156" s="3">
        <f t="shared" si="2"/>
        <v>7.5268817204301078E-2</v>
      </c>
      <c r="I156" s="1" t="s">
        <v>388</v>
      </c>
      <c r="J156" s="1" t="s">
        <v>389</v>
      </c>
      <c r="K156" s="1" t="s">
        <v>311</v>
      </c>
      <c r="L156" s="1" t="s">
        <v>53</v>
      </c>
      <c r="M156" s="1" t="s">
        <v>390</v>
      </c>
      <c r="N156" s="1"/>
      <c r="O156" s="1">
        <v>7</v>
      </c>
      <c r="P156" s="1">
        <v>93</v>
      </c>
    </row>
    <row r="157" spans="1:16" ht="24" customHeight="1">
      <c r="A157" s="1" t="s">
        <v>391</v>
      </c>
      <c r="B157" s="1">
        <v>67</v>
      </c>
      <c r="C157" s="1" t="s">
        <v>307</v>
      </c>
      <c r="D157" s="1" t="s">
        <v>18</v>
      </c>
      <c r="E157" s="1" t="s">
        <v>19</v>
      </c>
      <c r="F157" s="1">
        <v>0</v>
      </c>
      <c r="G157" s="1" t="s">
        <v>322</v>
      </c>
      <c r="H157" s="3">
        <f t="shared" si="2"/>
        <v>1</v>
      </c>
      <c r="I157" s="1" t="s">
        <v>392</v>
      </c>
      <c r="J157" s="1" t="s">
        <v>393</v>
      </c>
      <c r="K157" s="1" t="s">
        <v>311</v>
      </c>
      <c r="L157" s="1" t="s">
        <v>24</v>
      </c>
      <c r="M157" s="1" t="s">
        <v>325</v>
      </c>
      <c r="N157" s="1"/>
      <c r="O157" s="1">
        <v>93</v>
      </c>
      <c r="P157" s="1">
        <v>93</v>
      </c>
    </row>
    <row r="158" spans="1:16" ht="24" customHeight="1">
      <c r="A158" s="1" t="s">
        <v>391</v>
      </c>
      <c r="B158" s="1">
        <v>67</v>
      </c>
      <c r="C158" s="1" t="s">
        <v>307</v>
      </c>
      <c r="D158" s="1" t="s">
        <v>18</v>
      </c>
      <c r="E158" s="1" t="s">
        <v>26</v>
      </c>
      <c r="F158" s="1">
        <v>1</v>
      </c>
      <c r="G158" s="1" t="s">
        <v>322</v>
      </c>
      <c r="H158" s="3">
        <f t="shared" si="2"/>
        <v>0.89247311827956988</v>
      </c>
      <c r="I158" s="1" t="s">
        <v>394</v>
      </c>
      <c r="J158" s="1" t="s">
        <v>395</v>
      </c>
      <c r="K158" s="1" t="s">
        <v>311</v>
      </c>
      <c r="L158" s="1" t="s">
        <v>29</v>
      </c>
      <c r="M158" s="1" t="s">
        <v>325</v>
      </c>
      <c r="N158" s="1"/>
      <c r="O158" s="1">
        <v>83</v>
      </c>
      <c r="P158" s="1">
        <v>93</v>
      </c>
    </row>
    <row r="159" spans="1:16" ht="24" customHeight="1">
      <c r="A159" s="1" t="s">
        <v>391</v>
      </c>
      <c r="B159" s="1">
        <v>67</v>
      </c>
      <c r="C159" s="1" t="s">
        <v>307</v>
      </c>
      <c r="D159" s="1" t="s">
        <v>18</v>
      </c>
      <c r="E159" s="1" t="s">
        <v>26</v>
      </c>
      <c r="F159" s="1">
        <v>1</v>
      </c>
      <c r="G159" s="1" t="s">
        <v>396</v>
      </c>
      <c r="H159" s="3">
        <f t="shared" si="2"/>
        <v>0.10752688172043011</v>
      </c>
      <c r="I159" s="1" t="s">
        <v>394</v>
      </c>
      <c r="J159" s="1" t="s">
        <v>395</v>
      </c>
      <c r="K159" s="1" t="s">
        <v>311</v>
      </c>
      <c r="L159" s="1" t="s">
        <v>29</v>
      </c>
      <c r="M159" s="1" t="s">
        <v>397</v>
      </c>
      <c r="N159" s="1"/>
      <c r="O159" s="1">
        <v>10</v>
      </c>
      <c r="P159" s="1">
        <v>93</v>
      </c>
    </row>
    <row r="160" spans="1:16" ht="24" customHeight="1">
      <c r="A160" s="1" t="s">
        <v>391</v>
      </c>
      <c r="B160" s="1">
        <v>67</v>
      </c>
      <c r="C160" s="1" t="s">
        <v>307</v>
      </c>
      <c r="D160" s="1" t="s">
        <v>18</v>
      </c>
      <c r="E160" s="1" t="s">
        <v>30</v>
      </c>
      <c r="F160" s="1">
        <v>3</v>
      </c>
      <c r="G160" s="1" t="s">
        <v>322</v>
      </c>
      <c r="H160" s="3">
        <f t="shared" si="2"/>
        <v>1</v>
      </c>
      <c r="I160" s="1" t="s">
        <v>398</v>
      </c>
      <c r="J160" s="1" t="s">
        <v>399</v>
      </c>
      <c r="K160" s="1" t="s">
        <v>311</v>
      </c>
      <c r="L160" s="1" t="s">
        <v>33</v>
      </c>
      <c r="M160" s="1" t="s">
        <v>325</v>
      </c>
      <c r="N160" s="1"/>
      <c r="O160" s="1">
        <v>93</v>
      </c>
      <c r="P160" s="1">
        <v>93</v>
      </c>
    </row>
    <row r="161" spans="1:16" ht="24" customHeight="1">
      <c r="A161" s="1" t="s">
        <v>391</v>
      </c>
      <c r="B161" s="1">
        <v>67</v>
      </c>
      <c r="C161" s="1" t="s">
        <v>307</v>
      </c>
      <c r="D161" s="1" t="s">
        <v>18</v>
      </c>
      <c r="E161" s="1" t="s">
        <v>34</v>
      </c>
      <c r="F161" s="1">
        <v>6</v>
      </c>
      <c r="G161" s="1" t="s">
        <v>326</v>
      </c>
      <c r="H161" s="3">
        <f t="shared" si="2"/>
        <v>1</v>
      </c>
      <c r="I161" s="1" t="s">
        <v>400</v>
      </c>
      <c r="J161" s="1" t="s">
        <v>401</v>
      </c>
      <c r="K161" s="1" t="s">
        <v>311</v>
      </c>
      <c r="L161" s="1" t="s">
        <v>37</v>
      </c>
      <c r="M161" s="1" t="s">
        <v>329</v>
      </c>
      <c r="N161" s="1"/>
      <c r="O161" s="1">
        <v>93</v>
      </c>
      <c r="P161" s="1">
        <v>93</v>
      </c>
    </row>
    <row r="162" spans="1:16" ht="24" customHeight="1">
      <c r="A162" s="1" t="s">
        <v>402</v>
      </c>
      <c r="B162" s="1">
        <v>68</v>
      </c>
      <c r="C162" s="1" t="s">
        <v>307</v>
      </c>
      <c r="D162" s="1" t="s">
        <v>39</v>
      </c>
      <c r="E162" s="1" t="s">
        <v>19</v>
      </c>
      <c r="F162" s="1">
        <v>0</v>
      </c>
      <c r="G162" s="1" t="s">
        <v>313</v>
      </c>
      <c r="H162" s="3">
        <f t="shared" si="2"/>
        <v>1</v>
      </c>
      <c r="I162" s="1" t="s">
        <v>403</v>
      </c>
      <c r="J162" s="1" t="s">
        <v>404</v>
      </c>
      <c r="K162" s="1" t="s">
        <v>311</v>
      </c>
      <c r="L162" s="1" t="s">
        <v>42</v>
      </c>
      <c r="M162" s="1" t="s">
        <v>316</v>
      </c>
      <c r="N162" s="1"/>
      <c r="O162" s="1">
        <v>93</v>
      </c>
      <c r="P162" s="1">
        <v>93</v>
      </c>
    </row>
    <row r="163" spans="1:16" ht="24" customHeight="1">
      <c r="A163" s="1" t="s">
        <v>402</v>
      </c>
      <c r="B163" s="1">
        <v>68</v>
      </c>
      <c r="C163" s="1" t="s">
        <v>307</v>
      </c>
      <c r="D163" s="1" t="s">
        <v>39</v>
      </c>
      <c r="E163" s="1" t="s">
        <v>26</v>
      </c>
      <c r="F163" s="1">
        <v>1</v>
      </c>
      <c r="G163" s="1" t="s">
        <v>313</v>
      </c>
      <c r="H163" s="3">
        <f t="shared" si="2"/>
        <v>1</v>
      </c>
      <c r="I163" s="1" t="s">
        <v>405</v>
      </c>
      <c r="J163" s="1" t="s">
        <v>406</v>
      </c>
      <c r="K163" s="1" t="s">
        <v>311</v>
      </c>
      <c r="L163" s="1" t="s">
        <v>47</v>
      </c>
      <c r="M163" s="1" t="s">
        <v>316</v>
      </c>
      <c r="N163" s="1"/>
      <c r="O163" s="1">
        <v>93</v>
      </c>
      <c r="P163" s="1">
        <v>93</v>
      </c>
    </row>
    <row r="164" spans="1:16" ht="24" customHeight="1">
      <c r="A164" s="1" t="s">
        <v>402</v>
      </c>
      <c r="B164" s="1">
        <v>68</v>
      </c>
      <c r="C164" s="1" t="s">
        <v>307</v>
      </c>
      <c r="D164" s="1" t="s">
        <v>39</v>
      </c>
      <c r="E164" s="1" t="s">
        <v>30</v>
      </c>
      <c r="F164" s="1">
        <v>3</v>
      </c>
      <c r="G164" s="1" t="s">
        <v>313</v>
      </c>
      <c r="H164" s="3">
        <f t="shared" si="2"/>
        <v>1</v>
      </c>
      <c r="I164" s="1" t="s">
        <v>407</v>
      </c>
      <c r="J164" s="1" t="s">
        <v>408</v>
      </c>
      <c r="K164" s="1" t="s">
        <v>311</v>
      </c>
      <c r="L164" s="1" t="s">
        <v>50</v>
      </c>
      <c r="M164" s="1" t="s">
        <v>316</v>
      </c>
      <c r="N164" s="1"/>
      <c r="O164" s="1">
        <v>93</v>
      </c>
      <c r="P164" s="1">
        <v>93</v>
      </c>
    </row>
    <row r="165" spans="1:16" ht="24" customHeight="1">
      <c r="A165" s="1" t="s">
        <v>402</v>
      </c>
      <c r="B165" s="1">
        <v>68</v>
      </c>
      <c r="C165" s="1" t="s">
        <v>307</v>
      </c>
      <c r="D165" s="1" t="s">
        <v>39</v>
      </c>
      <c r="E165" s="1" t="s">
        <v>34</v>
      </c>
      <c r="F165" s="1">
        <v>6</v>
      </c>
      <c r="G165" s="1" t="s">
        <v>313</v>
      </c>
      <c r="H165" s="3">
        <f t="shared" si="2"/>
        <v>1</v>
      </c>
      <c r="I165" s="1" t="s">
        <v>409</v>
      </c>
      <c r="J165" s="1" t="s">
        <v>410</v>
      </c>
      <c r="K165" s="1" t="s">
        <v>311</v>
      </c>
      <c r="L165" s="1" t="s">
        <v>53</v>
      </c>
      <c r="M165" s="1" t="s">
        <v>316</v>
      </c>
      <c r="N165" s="1"/>
      <c r="O165" s="1">
        <v>93</v>
      </c>
      <c r="P165" s="1">
        <v>93</v>
      </c>
    </row>
    <row r="166" spans="1:16" ht="24" customHeight="1">
      <c r="A166" s="1" t="s">
        <v>411</v>
      </c>
      <c r="B166" s="1">
        <v>73</v>
      </c>
      <c r="C166" s="1" t="s">
        <v>307</v>
      </c>
      <c r="D166" s="1" t="s">
        <v>18</v>
      </c>
      <c r="E166" s="1" t="s">
        <v>19</v>
      </c>
      <c r="F166" s="1">
        <v>0</v>
      </c>
      <c r="G166" s="1" t="s">
        <v>322</v>
      </c>
      <c r="H166" s="3">
        <f t="shared" si="2"/>
        <v>0.92473118279569888</v>
      </c>
      <c r="I166" s="1" t="s">
        <v>412</v>
      </c>
      <c r="J166" s="1" t="s">
        <v>413</v>
      </c>
      <c r="K166" s="1" t="s">
        <v>311</v>
      </c>
      <c r="L166" s="1" t="s">
        <v>24</v>
      </c>
      <c r="M166" s="1" t="s">
        <v>325</v>
      </c>
      <c r="N166" s="1"/>
      <c r="O166" s="1">
        <v>86</v>
      </c>
      <c r="P166" s="1">
        <v>93</v>
      </c>
    </row>
    <row r="167" spans="1:16" ht="24" customHeight="1">
      <c r="A167" s="1" t="s">
        <v>411</v>
      </c>
      <c r="B167" s="1">
        <v>73</v>
      </c>
      <c r="C167" s="1" t="s">
        <v>307</v>
      </c>
      <c r="D167" s="1" t="s">
        <v>18</v>
      </c>
      <c r="E167" s="1" t="s">
        <v>19</v>
      </c>
      <c r="F167" s="1">
        <v>0</v>
      </c>
      <c r="G167" s="1" t="s">
        <v>414</v>
      </c>
      <c r="H167" s="3">
        <f t="shared" si="2"/>
        <v>7.5268817204301078E-2</v>
      </c>
      <c r="I167" s="1" t="s">
        <v>412</v>
      </c>
      <c r="J167" s="1" t="s">
        <v>413</v>
      </c>
      <c r="K167" s="1" t="s">
        <v>311</v>
      </c>
      <c r="L167" s="1" t="s">
        <v>24</v>
      </c>
      <c r="M167" s="1" t="s">
        <v>415</v>
      </c>
      <c r="N167" s="1"/>
      <c r="O167" s="1">
        <v>7</v>
      </c>
      <c r="P167" s="1">
        <v>93</v>
      </c>
    </row>
    <row r="168" spans="1:16" ht="24" customHeight="1">
      <c r="A168" s="1" t="s">
        <v>411</v>
      </c>
      <c r="B168" s="1">
        <v>73</v>
      </c>
      <c r="C168" s="1" t="s">
        <v>307</v>
      </c>
      <c r="D168" s="1" t="s">
        <v>18</v>
      </c>
      <c r="E168" s="1" t="s">
        <v>26</v>
      </c>
      <c r="F168" s="1">
        <v>1</v>
      </c>
      <c r="G168" s="1" t="s">
        <v>313</v>
      </c>
      <c r="H168" s="3">
        <f t="shared" si="2"/>
        <v>1</v>
      </c>
      <c r="I168" s="1" t="s">
        <v>416</v>
      </c>
      <c r="J168" s="1" t="s">
        <v>417</v>
      </c>
      <c r="K168" s="1" t="s">
        <v>311</v>
      </c>
      <c r="L168" s="1" t="s">
        <v>29</v>
      </c>
      <c r="M168" s="1" t="s">
        <v>316</v>
      </c>
      <c r="N168" s="1"/>
      <c r="O168" s="1">
        <v>93</v>
      </c>
      <c r="P168" s="1">
        <v>93</v>
      </c>
    </row>
    <row r="169" spans="1:16" ht="24" customHeight="1">
      <c r="A169" s="1" t="s">
        <v>411</v>
      </c>
      <c r="B169" s="1">
        <v>73</v>
      </c>
      <c r="C169" s="1" t="s">
        <v>307</v>
      </c>
      <c r="D169" s="1" t="s">
        <v>18</v>
      </c>
      <c r="E169" s="1" t="s">
        <v>30</v>
      </c>
      <c r="F169" s="1">
        <v>3</v>
      </c>
      <c r="G169" s="1" t="s">
        <v>313</v>
      </c>
      <c r="H169" s="3">
        <f t="shared" si="2"/>
        <v>1</v>
      </c>
      <c r="I169" s="1" t="s">
        <v>418</v>
      </c>
      <c r="J169" s="1" t="s">
        <v>419</v>
      </c>
      <c r="K169" s="1" t="s">
        <v>311</v>
      </c>
      <c r="L169" s="1" t="s">
        <v>33</v>
      </c>
      <c r="M169" s="1" t="s">
        <v>316</v>
      </c>
      <c r="N169" s="1"/>
      <c r="O169" s="1">
        <v>93</v>
      </c>
      <c r="P169" s="1">
        <v>93</v>
      </c>
    </row>
    <row r="170" spans="1:16" ht="24" customHeight="1">
      <c r="A170" s="1" t="s">
        <v>411</v>
      </c>
      <c r="B170" s="1">
        <v>73</v>
      </c>
      <c r="C170" s="1" t="s">
        <v>307</v>
      </c>
      <c r="D170" s="1" t="s">
        <v>18</v>
      </c>
      <c r="E170" s="1" t="s">
        <v>34</v>
      </c>
      <c r="F170" s="1">
        <v>6</v>
      </c>
      <c r="G170" s="1" t="s">
        <v>350</v>
      </c>
      <c r="H170" s="3">
        <f t="shared" si="2"/>
        <v>1</v>
      </c>
      <c r="I170" s="1" t="s">
        <v>420</v>
      </c>
      <c r="J170" s="1" t="s">
        <v>421</v>
      </c>
      <c r="K170" s="1" t="s">
        <v>311</v>
      </c>
      <c r="L170" s="1" t="s">
        <v>37</v>
      </c>
      <c r="M170" s="1" t="s">
        <v>353</v>
      </c>
      <c r="N170" s="1"/>
      <c r="O170" s="1">
        <v>93</v>
      </c>
      <c r="P170" s="1">
        <v>93</v>
      </c>
    </row>
    <row r="171" spans="1:16" ht="24" customHeight="1">
      <c r="A171" s="1" t="s">
        <v>422</v>
      </c>
      <c r="B171" s="1">
        <v>74</v>
      </c>
      <c r="C171" s="1" t="s">
        <v>307</v>
      </c>
      <c r="D171" s="1" t="s">
        <v>39</v>
      </c>
      <c r="E171" s="1" t="s">
        <v>19</v>
      </c>
      <c r="F171" s="1">
        <v>0</v>
      </c>
      <c r="G171" s="1" t="s">
        <v>313</v>
      </c>
      <c r="H171" s="3">
        <f t="shared" si="2"/>
        <v>1</v>
      </c>
      <c r="I171" s="1" t="s">
        <v>423</v>
      </c>
      <c r="J171" s="1" t="s">
        <v>424</v>
      </c>
      <c r="K171" s="1" t="s">
        <v>311</v>
      </c>
      <c r="L171" s="1" t="s">
        <v>42</v>
      </c>
      <c r="M171" s="1" t="s">
        <v>316</v>
      </c>
      <c r="N171" s="1"/>
      <c r="O171" s="1">
        <v>93</v>
      </c>
      <c r="P171" s="1">
        <v>93</v>
      </c>
    </row>
    <row r="172" spans="1:16" ht="24" customHeight="1">
      <c r="A172" s="1" t="s">
        <v>422</v>
      </c>
      <c r="B172" s="1">
        <v>74</v>
      </c>
      <c r="C172" s="1" t="s">
        <v>307</v>
      </c>
      <c r="D172" s="1" t="s">
        <v>39</v>
      </c>
      <c r="E172" s="1" t="s">
        <v>26</v>
      </c>
      <c r="F172" s="1">
        <v>1</v>
      </c>
      <c r="G172" s="1" t="s">
        <v>313</v>
      </c>
      <c r="H172" s="3">
        <f t="shared" si="2"/>
        <v>1</v>
      </c>
      <c r="I172" s="1" t="s">
        <v>425</v>
      </c>
      <c r="J172" s="1" t="s">
        <v>426</v>
      </c>
      <c r="K172" s="1" t="s">
        <v>311</v>
      </c>
      <c r="L172" s="1" t="s">
        <v>47</v>
      </c>
      <c r="M172" s="1" t="s">
        <v>316</v>
      </c>
      <c r="N172" s="1"/>
      <c r="O172" s="1">
        <v>93</v>
      </c>
      <c r="P172" s="1">
        <v>93</v>
      </c>
    </row>
    <row r="173" spans="1:16" ht="24" customHeight="1">
      <c r="A173" s="1" t="s">
        <v>422</v>
      </c>
      <c r="B173" s="1">
        <v>74</v>
      </c>
      <c r="C173" s="1" t="s">
        <v>307</v>
      </c>
      <c r="D173" s="1" t="s">
        <v>39</v>
      </c>
      <c r="E173" s="1" t="s">
        <v>30</v>
      </c>
      <c r="F173" s="1">
        <v>3</v>
      </c>
      <c r="G173" s="1" t="s">
        <v>313</v>
      </c>
      <c r="H173" s="3">
        <f t="shared" si="2"/>
        <v>1</v>
      </c>
      <c r="I173" s="1" t="s">
        <v>427</v>
      </c>
      <c r="J173" s="1" t="s">
        <v>428</v>
      </c>
      <c r="K173" s="1" t="s">
        <v>311</v>
      </c>
      <c r="L173" s="1" t="s">
        <v>50</v>
      </c>
      <c r="M173" s="1" t="s">
        <v>316</v>
      </c>
      <c r="N173" s="1"/>
      <c r="O173" s="1">
        <v>93</v>
      </c>
      <c r="P173" s="1">
        <v>93</v>
      </c>
    </row>
    <row r="174" spans="1:16" ht="24" customHeight="1">
      <c r="A174" s="1" t="s">
        <v>422</v>
      </c>
      <c r="B174" s="1">
        <v>74</v>
      </c>
      <c r="C174" s="1" t="s">
        <v>307</v>
      </c>
      <c r="D174" s="1" t="s">
        <v>39</v>
      </c>
      <c r="E174" s="1" t="s">
        <v>34</v>
      </c>
      <c r="F174" s="1">
        <v>6</v>
      </c>
      <c r="G174" s="1" t="s">
        <v>322</v>
      </c>
      <c r="H174" s="3">
        <f t="shared" si="2"/>
        <v>1</v>
      </c>
      <c r="I174" s="1" t="s">
        <v>429</v>
      </c>
      <c r="J174" s="1" t="s">
        <v>430</v>
      </c>
      <c r="K174" s="1" t="s">
        <v>311</v>
      </c>
      <c r="L174" s="1" t="s">
        <v>53</v>
      </c>
      <c r="M174" s="1" t="s">
        <v>325</v>
      </c>
      <c r="N174" s="1"/>
      <c r="O174" s="1">
        <v>93</v>
      </c>
      <c r="P174" s="1">
        <v>93</v>
      </c>
    </row>
    <row r="175" spans="1:16" ht="24" customHeight="1">
      <c r="A175" s="1" t="s">
        <v>431</v>
      </c>
      <c r="B175" s="1">
        <v>81</v>
      </c>
      <c r="C175" s="1" t="s">
        <v>307</v>
      </c>
      <c r="D175" s="1" t="s">
        <v>18</v>
      </c>
      <c r="E175" s="1" t="s">
        <v>19</v>
      </c>
      <c r="F175" s="1">
        <v>0</v>
      </c>
      <c r="G175" s="1" t="s">
        <v>432</v>
      </c>
      <c r="H175" s="3">
        <f t="shared" si="2"/>
        <v>1</v>
      </c>
      <c r="I175" s="1" t="s">
        <v>433</v>
      </c>
      <c r="J175" s="1" t="s">
        <v>434</v>
      </c>
      <c r="K175" s="1" t="s">
        <v>311</v>
      </c>
      <c r="L175" s="1" t="s">
        <v>24</v>
      </c>
      <c r="M175" s="1" t="s">
        <v>435</v>
      </c>
      <c r="N175" s="1"/>
      <c r="O175" s="1">
        <v>93</v>
      </c>
      <c r="P175" s="1">
        <v>93</v>
      </c>
    </row>
    <row r="176" spans="1:16" ht="24" customHeight="1">
      <c r="A176" s="1" t="s">
        <v>431</v>
      </c>
      <c r="B176" s="1">
        <v>81</v>
      </c>
      <c r="C176" s="1" t="s">
        <v>307</v>
      </c>
      <c r="D176" s="1" t="s">
        <v>18</v>
      </c>
      <c r="E176" s="1" t="s">
        <v>26</v>
      </c>
      <c r="F176" s="1">
        <v>1</v>
      </c>
      <c r="G176" s="1" t="s">
        <v>326</v>
      </c>
      <c r="H176" s="3">
        <f t="shared" si="2"/>
        <v>1</v>
      </c>
      <c r="I176" s="1" t="s">
        <v>436</v>
      </c>
      <c r="J176" s="1" t="s">
        <v>437</v>
      </c>
      <c r="K176" s="1" t="s">
        <v>311</v>
      </c>
      <c r="L176" s="1" t="s">
        <v>29</v>
      </c>
      <c r="M176" s="1" t="s">
        <v>329</v>
      </c>
      <c r="N176" s="1"/>
      <c r="O176" s="1">
        <v>93</v>
      </c>
      <c r="P176" s="1">
        <v>93</v>
      </c>
    </row>
    <row r="177" spans="1:16" ht="24" customHeight="1">
      <c r="A177" s="1" t="s">
        <v>431</v>
      </c>
      <c r="B177" s="1">
        <v>81</v>
      </c>
      <c r="C177" s="1" t="s">
        <v>307</v>
      </c>
      <c r="D177" s="1" t="s">
        <v>18</v>
      </c>
      <c r="E177" s="1" t="s">
        <v>30</v>
      </c>
      <c r="F177" s="1">
        <v>3</v>
      </c>
      <c r="G177" s="1" t="s">
        <v>322</v>
      </c>
      <c r="H177" s="3">
        <f t="shared" si="2"/>
        <v>1</v>
      </c>
      <c r="I177" s="1" t="s">
        <v>438</v>
      </c>
      <c r="J177" s="1" t="s">
        <v>439</v>
      </c>
      <c r="K177" s="1" t="s">
        <v>311</v>
      </c>
      <c r="L177" s="1" t="s">
        <v>33</v>
      </c>
      <c r="M177" s="1" t="s">
        <v>325</v>
      </c>
      <c r="N177" s="1"/>
      <c r="O177" s="1">
        <v>93</v>
      </c>
      <c r="P177" s="1">
        <v>93</v>
      </c>
    </row>
    <row r="178" spans="1:16" ht="24" customHeight="1">
      <c r="A178" s="1" t="s">
        <v>431</v>
      </c>
      <c r="B178" s="1">
        <v>81</v>
      </c>
      <c r="C178" s="1" t="s">
        <v>307</v>
      </c>
      <c r="D178" s="1" t="s">
        <v>18</v>
      </c>
      <c r="E178" s="1" t="s">
        <v>34</v>
      </c>
      <c r="F178" s="1">
        <v>6</v>
      </c>
      <c r="G178" s="1" t="s">
        <v>322</v>
      </c>
      <c r="H178" s="3">
        <f t="shared" si="2"/>
        <v>1</v>
      </c>
      <c r="I178" s="1" t="s">
        <v>440</v>
      </c>
      <c r="J178" s="1" t="s">
        <v>441</v>
      </c>
      <c r="K178" s="1" t="s">
        <v>311</v>
      </c>
      <c r="L178" s="1" t="s">
        <v>37</v>
      </c>
      <c r="M178" s="1" t="s">
        <v>325</v>
      </c>
      <c r="N178" s="1"/>
      <c r="O178" s="1">
        <v>93</v>
      </c>
      <c r="P178" s="1">
        <v>93</v>
      </c>
    </row>
    <row r="179" spans="1:16" ht="24" customHeight="1">
      <c r="A179" s="1" t="s">
        <v>442</v>
      </c>
      <c r="B179" s="1">
        <v>82</v>
      </c>
      <c r="C179" s="1" t="s">
        <v>307</v>
      </c>
      <c r="D179" s="1" t="s">
        <v>39</v>
      </c>
      <c r="E179" s="1" t="s">
        <v>19</v>
      </c>
      <c r="F179" s="1">
        <v>0</v>
      </c>
      <c r="G179" s="1" t="s">
        <v>350</v>
      </c>
      <c r="H179" s="3">
        <f t="shared" si="2"/>
        <v>1</v>
      </c>
      <c r="I179" s="1" t="s">
        <v>443</v>
      </c>
      <c r="J179" s="1" t="s">
        <v>444</v>
      </c>
      <c r="K179" s="1" t="s">
        <v>311</v>
      </c>
      <c r="L179" s="1" t="s">
        <v>42</v>
      </c>
      <c r="M179" s="1" t="s">
        <v>353</v>
      </c>
      <c r="N179" s="1"/>
      <c r="O179" s="1">
        <v>93</v>
      </c>
      <c r="P179" s="1">
        <v>93</v>
      </c>
    </row>
    <row r="180" spans="1:16" ht="24" customHeight="1">
      <c r="A180" s="1" t="s">
        <v>442</v>
      </c>
      <c r="B180" s="1">
        <v>82</v>
      </c>
      <c r="C180" s="1" t="s">
        <v>307</v>
      </c>
      <c r="D180" s="1" t="s">
        <v>39</v>
      </c>
      <c r="E180" s="1" t="s">
        <v>26</v>
      </c>
      <c r="F180" s="1">
        <v>1</v>
      </c>
      <c r="G180" s="1" t="s">
        <v>350</v>
      </c>
      <c r="H180" s="3">
        <f t="shared" si="2"/>
        <v>1</v>
      </c>
      <c r="I180" s="1" t="s">
        <v>445</v>
      </c>
      <c r="J180" s="1" t="s">
        <v>446</v>
      </c>
      <c r="K180" s="1" t="s">
        <v>311</v>
      </c>
      <c r="L180" s="1" t="s">
        <v>47</v>
      </c>
      <c r="M180" s="1" t="s">
        <v>353</v>
      </c>
      <c r="N180" s="1"/>
      <c r="O180" s="1">
        <v>93</v>
      </c>
      <c r="P180" s="1">
        <v>93</v>
      </c>
    </row>
    <row r="181" spans="1:16" ht="24" customHeight="1">
      <c r="A181" s="1" t="s">
        <v>442</v>
      </c>
      <c r="B181" s="1">
        <v>82</v>
      </c>
      <c r="C181" s="1" t="s">
        <v>307</v>
      </c>
      <c r="D181" s="1" t="s">
        <v>39</v>
      </c>
      <c r="E181" s="1" t="s">
        <v>30</v>
      </c>
      <c r="F181" s="1">
        <v>3</v>
      </c>
      <c r="G181" s="1" t="s">
        <v>313</v>
      </c>
      <c r="H181" s="3">
        <f t="shared" si="2"/>
        <v>1</v>
      </c>
      <c r="I181" s="1" t="s">
        <v>447</v>
      </c>
      <c r="J181" s="1" t="s">
        <v>448</v>
      </c>
      <c r="K181" s="1" t="s">
        <v>311</v>
      </c>
      <c r="L181" s="1" t="s">
        <v>50</v>
      </c>
      <c r="M181" s="1" t="s">
        <v>316</v>
      </c>
      <c r="N181" s="1"/>
      <c r="O181" s="1">
        <v>93</v>
      </c>
      <c r="P181" s="1">
        <v>93</v>
      </c>
    </row>
    <row r="182" spans="1:16" ht="24" customHeight="1">
      <c r="A182" s="1" t="s">
        <v>442</v>
      </c>
      <c r="B182" s="1">
        <v>82</v>
      </c>
      <c r="C182" s="1" t="s">
        <v>307</v>
      </c>
      <c r="D182" s="1" t="s">
        <v>39</v>
      </c>
      <c r="E182" s="1" t="s">
        <v>34</v>
      </c>
      <c r="F182" s="1">
        <v>6</v>
      </c>
      <c r="G182" s="1" t="s">
        <v>350</v>
      </c>
      <c r="H182" s="3">
        <f t="shared" si="2"/>
        <v>1</v>
      </c>
      <c r="I182" s="1" t="s">
        <v>449</v>
      </c>
      <c r="J182" s="1" t="s">
        <v>450</v>
      </c>
      <c r="K182" s="1" t="s">
        <v>311</v>
      </c>
      <c r="L182" s="1" t="s">
        <v>53</v>
      </c>
      <c r="M182" s="1" t="s">
        <v>353</v>
      </c>
      <c r="N182" s="1"/>
      <c r="O182" s="1">
        <v>93</v>
      </c>
      <c r="P182" s="1">
        <v>93</v>
      </c>
    </row>
    <row r="183" spans="1:16" ht="24" customHeight="1">
      <c r="A183" s="1" t="s">
        <v>451</v>
      </c>
      <c r="B183" s="1">
        <v>85</v>
      </c>
      <c r="C183" s="1" t="s">
        <v>307</v>
      </c>
      <c r="D183" s="1" t="s">
        <v>18</v>
      </c>
      <c r="E183" s="1" t="s">
        <v>19</v>
      </c>
      <c r="F183" s="1">
        <v>0</v>
      </c>
      <c r="G183" s="1" t="s">
        <v>326</v>
      </c>
      <c r="H183" s="3">
        <f t="shared" si="2"/>
        <v>1</v>
      </c>
      <c r="I183" s="1" t="s">
        <v>452</v>
      </c>
      <c r="J183" s="1" t="s">
        <v>453</v>
      </c>
      <c r="K183" s="1" t="s">
        <v>311</v>
      </c>
      <c r="L183" s="1" t="s">
        <v>24</v>
      </c>
      <c r="M183" s="1" t="s">
        <v>329</v>
      </c>
      <c r="N183" s="1"/>
      <c r="O183" s="1">
        <v>93</v>
      </c>
      <c r="P183" s="1">
        <v>93</v>
      </c>
    </row>
    <row r="184" spans="1:16" ht="24" customHeight="1">
      <c r="A184" s="1" t="s">
        <v>451</v>
      </c>
      <c r="B184" s="1">
        <v>85</v>
      </c>
      <c r="C184" s="1" t="s">
        <v>307</v>
      </c>
      <c r="D184" s="1" t="s">
        <v>18</v>
      </c>
      <c r="E184" s="1" t="s">
        <v>26</v>
      </c>
      <c r="F184" s="1">
        <v>1</v>
      </c>
      <c r="G184" s="1" t="s">
        <v>326</v>
      </c>
      <c r="H184" s="3">
        <f t="shared" si="2"/>
        <v>1</v>
      </c>
      <c r="I184" s="1" t="s">
        <v>454</v>
      </c>
      <c r="J184" s="1" t="s">
        <v>455</v>
      </c>
      <c r="K184" s="1" t="s">
        <v>311</v>
      </c>
      <c r="L184" s="1" t="s">
        <v>29</v>
      </c>
      <c r="M184" s="1" t="s">
        <v>329</v>
      </c>
      <c r="N184" s="1"/>
      <c r="O184" s="1">
        <v>93</v>
      </c>
      <c r="P184" s="1">
        <v>93</v>
      </c>
    </row>
    <row r="185" spans="1:16" ht="24" customHeight="1">
      <c r="A185" s="1" t="s">
        <v>451</v>
      </c>
      <c r="B185" s="1">
        <v>85</v>
      </c>
      <c r="C185" s="1" t="s">
        <v>307</v>
      </c>
      <c r="D185" s="1" t="s">
        <v>18</v>
      </c>
      <c r="E185" s="1" t="s">
        <v>30</v>
      </c>
      <c r="F185" s="1">
        <v>3</v>
      </c>
      <c r="G185" s="1" t="s">
        <v>326</v>
      </c>
      <c r="H185" s="3">
        <f t="shared" si="2"/>
        <v>1</v>
      </c>
      <c r="I185" s="1" t="s">
        <v>456</v>
      </c>
      <c r="J185" s="1" t="s">
        <v>457</v>
      </c>
      <c r="K185" s="1" t="s">
        <v>311</v>
      </c>
      <c r="L185" s="1" t="s">
        <v>33</v>
      </c>
      <c r="M185" s="1" t="s">
        <v>329</v>
      </c>
      <c r="N185" s="1"/>
      <c r="O185" s="1">
        <v>93</v>
      </c>
      <c r="P185" s="1">
        <v>93</v>
      </c>
    </row>
    <row r="186" spans="1:16" ht="24" customHeight="1">
      <c r="A186" s="1" t="s">
        <v>451</v>
      </c>
      <c r="B186" s="1">
        <v>85</v>
      </c>
      <c r="C186" s="1" t="s">
        <v>307</v>
      </c>
      <c r="D186" s="1" t="s">
        <v>18</v>
      </c>
      <c r="E186" s="1" t="s">
        <v>34</v>
      </c>
      <c r="F186" s="1">
        <v>6</v>
      </c>
      <c r="G186" s="1" t="s">
        <v>326</v>
      </c>
      <c r="H186" s="3">
        <f t="shared" si="2"/>
        <v>1</v>
      </c>
      <c r="I186" s="1" t="s">
        <v>458</v>
      </c>
      <c r="J186" s="1" t="s">
        <v>459</v>
      </c>
      <c r="K186" s="1" t="s">
        <v>311</v>
      </c>
      <c r="L186" s="1" t="s">
        <v>37</v>
      </c>
      <c r="M186" s="1" t="s">
        <v>329</v>
      </c>
      <c r="N186" s="1"/>
      <c r="O186" s="1">
        <v>93</v>
      </c>
      <c r="P186" s="1">
        <v>93</v>
      </c>
    </row>
    <row r="187" spans="1:16" ht="24" customHeight="1">
      <c r="A187" s="1" t="s">
        <v>460</v>
      </c>
      <c r="B187" s="1">
        <v>86</v>
      </c>
      <c r="C187" s="1" t="s">
        <v>307</v>
      </c>
      <c r="D187" s="1" t="s">
        <v>39</v>
      </c>
      <c r="E187" s="1" t="s">
        <v>19</v>
      </c>
      <c r="F187" s="1">
        <v>0</v>
      </c>
      <c r="G187" s="1" t="s">
        <v>313</v>
      </c>
      <c r="H187" s="3">
        <f t="shared" si="2"/>
        <v>1</v>
      </c>
      <c r="I187" s="1" t="s">
        <v>461</v>
      </c>
      <c r="J187" s="1" t="s">
        <v>462</v>
      </c>
      <c r="K187" s="1" t="s">
        <v>311</v>
      </c>
      <c r="L187" s="1" t="s">
        <v>42</v>
      </c>
      <c r="M187" s="1" t="s">
        <v>316</v>
      </c>
      <c r="N187" s="1"/>
      <c r="O187" s="1">
        <v>93</v>
      </c>
      <c r="P187" s="1">
        <v>93</v>
      </c>
    </row>
    <row r="188" spans="1:16" ht="24" customHeight="1">
      <c r="A188" s="1" t="s">
        <v>460</v>
      </c>
      <c r="B188" s="1">
        <v>86</v>
      </c>
      <c r="C188" s="1" t="s">
        <v>307</v>
      </c>
      <c r="D188" s="1" t="s">
        <v>39</v>
      </c>
      <c r="E188" s="1" t="s">
        <v>26</v>
      </c>
      <c r="F188" s="1">
        <v>1</v>
      </c>
      <c r="G188" s="1" t="s">
        <v>322</v>
      </c>
      <c r="H188" s="3">
        <f t="shared" si="2"/>
        <v>1</v>
      </c>
      <c r="I188" s="1" t="s">
        <v>463</v>
      </c>
      <c r="J188" s="1" t="s">
        <v>464</v>
      </c>
      <c r="K188" s="1" t="s">
        <v>311</v>
      </c>
      <c r="L188" s="1" t="s">
        <v>47</v>
      </c>
      <c r="M188" s="1" t="s">
        <v>325</v>
      </c>
      <c r="N188" s="1"/>
      <c r="O188" s="1">
        <v>93</v>
      </c>
      <c r="P188" s="1">
        <v>93</v>
      </c>
    </row>
    <row r="189" spans="1:16" ht="24" customHeight="1">
      <c r="A189" s="1" t="s">
        <v>460</v>
      </c>
      <c r="B189" s="1">
        <v>86</v>
      </c>
      <c r="C189" s="1" t="s">
        <v>307</v>
      </c>
      <c r="D189" s="1" t="s">
        <v>39</v>
      </c>
      <c r="E189" s="1" t="s">
        <v>30</v>
      </c>
      <c r="F189" s="1">
        <v>3</v>
      </c>
      <c r="G189" s="1" t="s">
        <v>313</v>
      </c>
      <c r="H189" s="3">
        <f t="shared" si="2"/>
        <v>1</v>
      </c>
      <c r="I189" s="1" t="s">
        <v>465</v>
      </c>
      <c r="J189" s="1" t="s">
        <v>466</v>
      </c>
      <c r="K189" s="1" t="s">
        <v>311</v>
      </c>
      <c r="L189" s="1" t="s">
        <v>50</v>
      </c>
      <c r="M189" s="1" t="s">
        <v>316</v>
      </c>
      <c r="N189" s="1"/>
      <c r="O189" s="1">
        <v>93</v>
      </c>
      <c r="P189" s="1">
        <v>93</v>
      </c>
    </row>
    <row r="190" spans="1:16" ht="24" customHeight="1">
      <c r="A190" s="1" t="s">
        <v>460</v>
      </c>
      <c r="B190" s="1">
        <v>86</v>
      </c>
      <c r="C190" s="1" t="s">
        <v>307</v>
      </c>
      <c r="D190" s="1" t="s">
        <v>39</v>
      </c>
      <c r="E190" s="1" t="s">
        <v>34</v>
      </c>
      <c r="F190" s="1">
        <v>6</v>
      </c>
      <c r="G190" s="1" t="s">
        <v>322</v>
      </c>
      <c r="H190" s="3">
        <f t="shared" si="2"/>
        <v>1</v>
      </c>
      <c r="I190" s="1" t="s">
        <v>467</v>
      </c>
      <c r="J190" s="1" t="s">
        <v>468</v>
      </c>
      <c r="K190" s="1" t="s">
        <v>311</v>
      </c>
      <c r="L190" s="1" t="s">
        <v>53</v>
      </c>
      <c r="M190" s="1" t="s">
        <v>325</v>
      </c>
      <c r="N190" s="1"/>
      <c r="O190" s="1">
        <v>93</v>
      </c>
      <c r="P190" s="1">
        <v>93</v>
      </c>
    </row>
    <row r="191" spans="1:16" ht="24" customHeight="1">
      <c r="A191" s="1" t="s">
        <v>469</v>
      </c>
      <c r="B191" s="1">
        <v>93</v>
      </c>
      <c r="C191" s="1" t="s">
        <v>307</v>
      </c>
      <c r="D191" s="1" t="s">
        <v>18</v>
      </c>
      <c r="E191" s="1" t="s">
        <v>19</v>
      </c>
      <c r="F191" s="1">
        <v>0</v>
      </c>
      <c r="G191" s="1" t="s">
        <v>350</v>
      </c>
      <c r="H191" s="3">
        <f t="shared" si="2"/>
        <v>1</v>
      </c>
      <c r="I191" s="1" t="s">
        <v>470</v>
      </c>
      <c r="J191" s="1" t="s">
        <v>471</v>
      </c>
      <c r="K191" s="1" t="s">
        <v>311</v>
      </c>
      <c r="L191" s="1" t="s">
        <v>24</v>
      </c>
      <c r="M191" s="1" t="s">
        <v>353</v>
      </c>
      <c r="N191" s="1"/>
      <c r="O191" s="1">
        <v>93</v>
      </c>
      <c r="P191" s="1">
        <v>93</v>
      </c>
    </row>
    <row r="192" spans="1:16" ht="24" customHeight="1">
      <c r="A192" s="1" t="s">
        <v>469</v>
      </c>
      <c r="B192" s="1">
        <v>93</v>
      </c>
      <c r="C192" s="1" t="s">
        <v>307</v>
      </c>
      <c r="D192" s="1" t="s">
        <v>18</v>
      </c>
      <c r="E192" s="1" t="s">
        <v>26</v>
      </c>
      <c r="F192" s="1">
        <v>1</v>
      </c>
      <c r="G192" s="1" t="s">
        <v>326</v>
      </c>
      <c r="H192" s="3">
        <f t="shared" si="2"/>
        <v>1</v>
      </c>
      <c r="I192" s="1" t="s">
        <v>472</v>
      </c>
      <c r="J192" s="1" t="s">
        <v>473</v>
      </c>
      <c r="K192" s="1" t="s">
        <v>311</v>
      </c>
      <c r="L192" s="1" t="s">
        <v>29</v>
      </c>
      <c r="M192" s="1" t="s">
        <v>329</v>
      </c>
      <c r="N192" s="1"/>
      <c r="O192" s="1">
        <v>93</v>
      </c>
      <c r="P192" s="1">
        <v>93</v>
      </c>
    </row>
    <row r="193" spans="1:16" ht="24" customHeight="1">
      <c r="A193" s="1" t="s">
        <v>469</v>
      </c>
      <c r="B193" s="1">
        <v>93</v>
      </c>
      <c r="C193" s="1" t="s">
        <v>307</v>
      </c>
      <c r="D193" s="1" t="s">
        <v>18</v>
      </c>
      <c r="E193" s="1" t="s">
        <v>30</v>
      </c>
      <c r="F193" s="1">
        <v>3</v>
      </c>
      <c r="G193" s="1" t="s">
        <v>313</v>
      </c>
      <c r="H193" s="3">
        <f t="shared" si="2"/>
        <v>1</v>
      </c>
      <c r="I193" s="1" t="s">
        <v>474</v>
      </c>
      <c r="J193" s="1" t="s">
        <v>475</v>
      </c>
      <c r="K193" s="1" t="s">
        <v>311</v>
      </c>
      <c r="L193" s="1" t="s">
        <v>33</v>
      </c>
      <c r="M193" s="1" t="s">
        <v>316</v>
      </c>
      <c r="N193" s="1"/>
      <c r="O193" s="1">
        <v>93</v>
      </c>
      <c r="P193" s="1">
        <v>93</v>
      </c>
    </row>
    <row r="194" spans="1:16" ht="24" customHeight="1">
      <c r="A194" s="1" t="s">
        <v>469</v>
      </c>
      <c r="B194" s="1">
        <v>93</v>
      </c>
      <c r="C194" s="1" t="s">
        <v>307</v>
      </c>
      <c r="D194" s="1" t="s">
        <v>18</v>
      </c>
      <c r="E194" s="1" t="s">
        <v>34</v>
      </c>
      <c r="F194" s="1">
        <v>6</v>
      </c>
      <c r="G194" s="1" t="s">
        <v>350</v>
      </c>
      <c r="H194" s="3">
        <f t="shared" ref="H194:H206" si="3">O194/P194</f>
        <v>1</v>
      </c>
      <c r="I194" s="1" t="s">
        <v>476</v>
      </c>
      <c r="J194" s="1" t="s">
        <v>477</v>
      </c>
      <c r="K194" s="1" t="s">
        <v>311</v>
      </c>
      <c r="L194" s="1" t="s">
        <v>37</v>
      </c>
      <c r="M194" s="1" t="s">
        <v>353</v>
      </c>
      <c r="N194" s="1"/>
      <c r="O194" s="1">
        <v>93</v>
      </c>
      <c r="P194" s="1">
        <v>93</v>
      </c>
    </row>
    <row r="195" spans="1:16" ht="24" customHeight="1">
      <c r="A195" s="1" t="s">
        <v>478</v>
      </c>
      <c r="B195" s="1">
        <v>94</v>
      </c>
      <c r="C195" s="1" t="s">
        <v>307</v>
      </c>
      <c r="D195" s="1" t="s">
        <v>39</v>
      </c>
      <c r="E195" s="1" t="s">
        <v>19</v>
      </c>
      <c r="F195" s="1">
        <v>0</v>
      </c>
      <c r="G195" s="1" t="s">
        <v>313</v>
      </c>
      <c r="H195" s="3">
        <f t="shared" si="3"/>
        <v>1</v>
      </c>
      <c r="I195" s="1" t="s">
        <v>479</v>
      </c>
      <c r="J195" s="1" t="s">
        <v>480</v>
      </c>
      <c r="K195" s="1" t="s">
        <v>311</v>
      </c>
      <c r="L195" s="1" t="s">
        <v>42</v>
      </c>
      <c r="M195" s="1" t="s">
        <v>316</v>
      </c>
      <c r="N195" s="1"/>
      <c r="O195" s="1">
        <v>93</v>
      </c>
      <c r="P195" s="1">
        <v>93</v>
      </c>
    </row>
    <row r="196" spans="1:16" ht="24" customHeight="1">
      <c r="A196" s="1" t="s">
        <v>478</v>
      </c>
      <c r="B196" s="1">
        <v>94</v>
      </c>
      <c r="C196" s="1" t="s">
        <v>307</v>
      </c>
      <c r="D196" s="1" t="s">
        <v>39</v>
      </c>
      <c r="E196" s="1" t="s">
        <v>26</v>
      </c>
      <c r="F196" s="1">
        <v>1</v>
      </c>
      <c r="G196" s="1" t="s">
        <v>481</v>
      </c>
      <c r="H196" s="3">
        <f t="shared" si="3"/>
        <v>1</v>
      </c>
      <c r="I196" s="1" t="s">
        <v>482</v>
      </c>
      <c r="J196" s="1" t="s">
        <v>483</v>
      </c>
      <c r="K196" s="1" t="s">
        <v>311</v>
      </c>
      <c r="L196" s="1" t="s">
        <v>47</v>
      </c>
      <c r="M196" s="1" t="s">
        <v>484</v>
      </c>
      <c r="N196" s="1"/>
      <c r="O196" s="1">
        <v>93</v>
      </c>
      <c r="P196" s="1">
        <v>93</v>
      </c>
    </row>
    <row r="197" spans="1:16" ht="24" customHeight="1">
      <c r="A197" s="1" t="s">
        <v>478</v>
      </c>
      <c r="B197" s="1">
        <v>94</v>
      </c>
      <c r="C197" s="1" t="s">
        <v>307</v>
      </c>
      <c r="D197" s="1" t="s">
        <v>39</v>
      </c>
      <c r="E197" s="1" t="s">
        <v>30</v>
      </c>
      <c r="F197" s="1">
        <v>3</v>
      </c>
      <c r="G197" s="1" t="s">
        <v>313</v>
      </c>
      <c r="H197" s="3">
        <f t="shared" si="3"/>
        <v>1</v>
      </c>
      <c r="I197" s="1" t="s">
        <v>485</v>
      </c>
      <c r="J197" s="1" t="s">
        <v>486</v>
      </c>
      <c r="K197" s="1" t="s">
        <v>311</v>
      </c>
      <c r="L197" s="1" t="s">
        <v>50</v>
      </c>
      <c r="M197" s="1" t="s">
        <v>316</v>
      </c>
      <c r="N197" s="1"/>
      <c r="O197" s="1">
        <v>93</v>
      </c>
      <c r="P197" s="1">
        <v>93</v>
      </c>
    </row>
    <row r="198" spans="1:16" ht="24" customHeight="1">
      <c r="A198" s="1" t="s">
        <v>478</v>
      </c>
      <c r="B198" s="1">
        <v>94</v>
      </c>
      <c r="C198" s="1" t="s">
        <v>307</v>
      </c>
      <c r="D198" s="1" t="s">
        <v>39</v>
      </c>
      <c r="E198" s="1" t="s">
        <v>34</v>
      </c>
      <c r="F198" s="1">
        <v>6</v>
      </c>
      <c r="G198" s="1" t="s">
        <v>313</v>
      </c>
      <c r="H198" s="3">
        <f t="shared" si="3"/>
        <v>1</v>
      </c>
      <c r="I198" s="1" t="s">
        <v>487</v>
      </c>
      <c r="J198" s="1" t="s">
        <v>488</v>
      </c>
      <c r="K198" s="1" t="s">
        <v>311</v>
      </c>
      <c r="L198" s="1" t="s">
        <v>53</v>
      </c>
      <c r="M198" s="1" t="s">
        <v>316</v>
      </c>
      <c r="N198" s="1"/>
      <c r="O198" s="1">
        <v>93</v>
      </c>
      <c r="P198" s="1">
        <v>93</v>
      </c>
    </row>
    <row r="199" spans="1:16" ht="24" customHeight="1">
      <c r="A199" s="1" t="s">
        <v>489</v>
      </c>
      <c r="B199" s="1">
        <v>95</v>
      </c>
      <c r="C199" s="1" t="s">
        <v>307</v>
      </c>
      <c r="D199" s="1" t="s">
        <v>18</v>
      </c>
      <c r="E199" s="1" t="s">
        <v>19</v>
      </c>
      <c r="F199" s="1">
        <v>0</v>
      </c>
      <c r="G199" s="1" t="s">
        <v>350</v>
      </c>
      <c r="H199" s="3">
        <f t="shared" si="3"/>
        <v>1</v>
      </c>
      <c r="I199" s="1" t="s">
        <v>490</v>
      </c>
      <c r="J199" s="1" t="s">
        <v>491</v>
      </c>
      <c r="K199" s="1" t="s">
        <v>311</v>
      </c>
      <c r="L199" s="1" t="s">
        <v>24</v>
      </c>
      <c r="M199" s="1" t="s">
        <v>353</v>
      </c>
      <c r="N199" s="1"/>
      <c r="O199" s="1">
        <v>93</v>
      </c>
      <c r="P199" s="1">
        <v>93</v>
      </c>
    </row>
    <row r="200" spans="1:16" ht="24" customHeight="1">
      <c r="A200" s="1" t="s">
        <v>489</v>
      </c>
      <c r="B200" s="1">
        <v>95</v>
      </c>
      <c r="C200" s="1" t="s">
        <v>307</v>
      </c>
      <c r="D200" s="1" t="s">
        <v>18</v>
      </c>
      <c r="E200" s="1" t="s">
        <v>26</v>
      </c>
      <c r="F200" s="1">
        <v>1</v>
      </c>
      <c r="G200" s="1" t="s">
        <v>350</v>
      </c>
      <c r="H200" s="3">
        <f t="shared" si="3"/>
        <v>1</v>
      </c>
      <c r="I200" s="1" t="s">
        <v>492</v>
      </c>
      <c r="J200" s="1" t="s">
        <v>493</v>
      </c>
      <c r="K200" s="1" t="s">
        <v>311</v>
      </c>
      <c r="L200" s="1" t="s">
        <v>29</v>
      </c>
      <c r="M200" s="1" t="s">
        <v>353</v>
      </c>
      <c r="N200" s="1"/>
      <c r="O200" s="1">
        <v>93</v>
      </c>
      <c r="P200" s="1">
        <v>93</v>
      </c>
    </row>
    <row r="201" spans="1:16" ht="24" customHeight="1">
      <c r="A201" s="1" t="s">
        <v>489</v>
      </c>
      <c r="B201" s="1">
        <v>95</v>
      </c>
      <c r="C201" s="1" t="s">
        <v>307</v>
      </c>
      <c r="D201" s="1" t="s">
        <v>18</v>
      </c>
      <c r="E201" s="1" t="s">
        <v>30</v>
      </c>
      <c r="F201" s="1">
        <v>3</v>
      </c>
      <c r="G201" s="1" t="s">
        <v>350</v>
      </c>
      <c r="H201" s="3">
        <f t="shared" si="3"/>
        <v>1</v>
      </c>
      <c r="I201" s="1" t="s">
        <v>494</v>
      </c>
      <c r="J201" s="1" t="s">
        <v>495</v>
      </c>
      <c r="K201" s="1" t="s">
        <v>311</v>
      </c>
      <c r="L201" s="1" t="s">
        <v>33</v>
      </c>
      <c r="M201" s="1" t="s">
        <v>353</v>
      </c>
      <c r="N201" s="1"/>
      <c r="O201" s="1">
        <v>93</v>
      </c>
      <c r="P201" s="1">
        <v>93</v>
      </c>
    </row>
    <row r="202" spans="1:16" ht="24" customHeight="1">
      <c r="A202" s="1" t="s">
        <v>489</v>
      </c>
      <c r="B202" s="1">
        <v>95</v>
      </c>
      <c r="C202" s="1" t="s">
        <v>307</v>
      </c>
      <c r="D202" s="1" t="s">
        <v>18</v>
      </c>
      <c r="E202" s="1" t="s">
        <v>34</v>
      </c>
      <c r="F202" s="1">
        <v>6</v>
      </c>
      <c r="G202" s="1" t="s">
        <v>350</v>
      </c>
      <c r="H202" s="3">
        <f t="shared" si="3"/>
        <v>1</v>
      </c>
      <c r="I202" s="1" t="s">
        <v>496</v>
      </c>
      <c r="J202" s="1" t="s">
        <v>497</v>
      </c>
      <c r="K202" s="1" t="s">
        <v>311</v>
      </c>
      <c r="L202" s="1" t="s">
        <v>37</v>
      </c>
      <c r="M202" s="1" t="s">
        <v>353</v>
      </c>
      <c r="N202" s="1"/>
      <c r="O202" s="1">
        <v>93</v>
      </c>
      <c r="P202" s="1">
        <v>93</v>
      </c>
    </row>
    <row r="203" spans="1:16" ht="24" customHeight="1">
      <c r="A203" s="1" t="s">
        <v>498</v>
      </c>
      <c r="B203" s="1">
        <v>96</v>
      </c>
      <c r="C203" s="1" t="s">
        <v>307</v>
      </c>
      <c r="D203" s="1" t="s">
        <v>39</v>
      </c>
      <c r="E203" s="1" t="s">
        <v>19</v>
      </c>
      <c r="F203" s="1">
        <v>0</v>
      </c>
      <c r="G203" s="1" t="s">
        <v>313</v>
      </c>
      <c r="H203" s="3">
        <f t="shared" si="3"/>
        <v>1</v>
      </c>
      <c r="I203" s="1" t="s">
        <v>499</v>
      </c>
      <c r="J203" s="1" t="s">
        <v>500</v>
      </c>
      <c r="K203" s="1" t="s">
        <v>311</v>
      </c>
      <c r="L203" s="1" t="s">
        <v>42</v>
      </c>
      <c r="M203" s="1" t="s">
        <v>316</v>
      </c>
      <c r="N203" s="1"/>
      <c r="O203" s="1">
        <v>93</v>
      </c>
      <c r="P203" s="1">
        <v>93</v>
      </c>
    </row>
    <row r="204" spans="1:16" ht="24" customHeight="1">
      <c r="A204" s="1" t="s">
        <v>498</v>
      </c>
      <c r="B204" s="1">
        <v>96</v>
      </c>
      <c r="C204" s="1" t="s">
        <v>307</v>
      </c>
      <c r="D204" s="1" t="s">
        <v>39</v>
      </c>
      <c r="E204" s="1" t="s">
        <v>26</v>
      </c>
      <c r="F204" s="1">
        <v>1</v>
      </c>
      <c r="G204" s="1" t="s">
        <v>313</v>
      </c>
      <c r="H204" s="3">
        <f t="shared" si="3"/>
        <v>1</v>
      </c>
      <c r="I204" s="1" t="s">
        <v>501</v>
      </c>
      <c r="J204" s="1" t="s">
        <v>502</v>
      </c>
      <c r="K204" s="1" t="s">
        <v>311</v>
      </c>
      <c r="L204" s="1" t="s">
        <v>47</v>
      </c>
      <c r="M204" s="1" t="s">
        <v>316</v>
      </c>
      <c r="N204" s="1"/>
      <c r="O204" s="1">
        <v>93</v>
      </c>
      <c r="P204" s="1">
        <v>93</v>
      </c>
    </row>
    <row r="205" spans="1:16" ht="24" customHeight="1">
      <c r="A205" s="1" t="s">
        <v>498</v>
      </c>
      <c r="B205" s="1">
        <v>96</v>
      </c>
      <c r="C205" s="1" t="s">
        <v>307</v>
      </c>
      <c r="D205" s="1" t="s">
        <v>39</v>
      </c>
      <c r="E205" s="1" t="s">
        <v>30</v>
      </c>
      <c r="F205" s="1">
        <v>3</v>
      </c>
      <c r="G205" s="1" t="s">
        <v>313</v>
      </c>
      <c r="H205" s="3">
        <f t="shared" si="3"/>
        <v>1</v>
      </c>
      <c r="I205" s="1" t="s">
        <v>503</v>
      </c>
      <c r="J205" s="1" t="s">
        <v>504</v>
      </c>
      <c r="K205" s="1" t="s">
        <v>311</v>
      </c>
      <c r="L205" s="1" t="s">
        <v>50</v>
      </c>
      <c r="M205" s="1" t="s">
        <v>316</v>
      </c>
      <c r="N205" s="1"/>
      <c r="O205" s="1">
        <v>93</v>
      </c>
      <c r="P205" s="1">
        <v>93</v>
      </c>
    </row>
    <row r="206" spans="1:16" ht="24" customHeight="1">
      <c r="A206" s="1" t="s">
        <v>498</v>
      </c>
      <c r="B206" s="1">
        <v>96</v>
      </c>
      <c r="C206" s="1" t="s">
        <v>307</v>
      </c>
      <c r="D206" s="1" t="s">
        <v>39</v>
      </c>
      <c r="E206" s="1" t="s">
        <v>34</v>
      </c>
      <c r="F206" s="1">
        <v>6</v>
      </c>
      <c r="G206" s="1" t="s">
        <v>313</v>
      </c>
      <c r="H206" s="3">
        <f t="shared" si="3"/>
        <v>1</v>
      </c>
      <c r="I206" s="1" t="s">
        <v>505</v>
      </c>
      <c r="J206" s="1" t="s">
        <v>506</v>
      </c>
      <c r="K206" s="1" t="s">
        <v>311</v>
      </c>
      <c r="L206" s="1" t="s">
        <v>53</v>
      </c>
      <c r="M206" s="1" t="s">
        <v>316</v>
      </c>
      <c r="N206" s="1"/>
      <c r="O206" s="1">
        <v>93</v>
      </c>
      <c r="P206" s="1">
        <v>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showGridLines="0" workbookViewId="0">
      <pane ySplit="1" topLeftCell="A2" activePane="bottomLeft" state="frozen"/>
      <selection pane="bottomLeft"/>
    </sheetView>
  </sheetViews>
  <sheetFormatPr baseColWidth="10" defaultColWidth="8.83203125" defaultRowHeight="14"/>
  <cols>
    <col min="1" max="1" width="18" customWidth="1"/>
    <col min="2" max="2" width="28" customWidth="1"/>
    <col min="3" max="3" width="19" customWidth="1"/>
    <col min="4" max="4" width="70" customWidth="1"/>
    <col min="5" max="5" width="23" customWidth="1"/>
  </cols>
  <sheetData>
    <row r="1" spans="1:5" ht="40" customHeight="1">
      <c r="A1" s="2" t="s">
        <v>507</v>
      </c>
      <c r="B1" s="2" t="s">
        <v>2</v>
      </c>
      <c r="C1" s="2" t="s">
        <v>12</v>
      </c>
      <c r="D1" s="2" t="s">
        <v>6</v>
      </c>
      <c r="E1" s="2" t="s">
        <v>508</v>
      </c>
    </row>
    <row r="2" spans="1:5" ht="24" customHeight="1">
      <c r="A2" s="1" t="s">
        <v>509</v>
      </c>
      <c r="B2" s="1" t="s">
        <v>17</v>
      </c>
      <c r="C2" s="1" t="s">
        <v>131</v>
      </c>
      <c r="D2" s="1" t="s">
        <v>130</v>
      </c>
      <c r="E2" s="4" t="s">
        <v>510</v>
      </c>
    </row>
    <row r="3" spans="1:5" ht="24" customHeight="1">
      <c r="A3" s="1" t="s">
        <v>509</v>
      </c>
      <c r="B3" s="1" t="s">
        <v>17</v>
      </c>
      <c r="C3" s="1" t="s">
        <v>135</v>
      </c>
      <c r="D3" s="1" t="s">
        <v>134</v>
      </c>
      <c r="E3" s="5" t="s">
        <v>511</v>
      </c>
    </row>
    <row r="4" spans="1:5" ht="24" customHeight="1">
      <c r="A4" s="1" t="s">
        <v>509</v>
      </c>
      <c r="B4" s="1" t="s">
        <v>17</v>
      </c>
      <c r="C4" s="1" t="s">
        <v>44</v>
      </c>
      <c r="D4" s="1" t="s">
        <v>43</v>
      </c>
      <c r="E4" s="6" t="s">
        <v>512</v>
      </c>
    </row>
    <row r="5" spans="1:5" ht="24" customHeight="1">
      <c r="A5" s="1" t="s">
        <v>509</v>
      </c>
      <c r="B5" s="1" t="s">
        <v>17</v>
      </c>
      <c r="C5" s="1" t="s">
        <v>91</v>
      </c>
      <c r="D5" s="1" t="s">
        <v>88</v>
      </c>
      <c r="E5" s="7" t="s">
        <v>513</v>
      </c>
    </row>
    <row r="6" spans="1:5" ht="24" customHeight="1">
      <c r="A6" s="1" t="s">
        <v>509</v>
      </c>
      <c r="B6" s="1" t="s">
        <v>17</v>
      </c>
      <c r="C6" s="1" t="s">
        <v>177</v>
      </c>
      <c r="D6" s="1" t="s">
        <v>174</v>
      </c>
      <c r="E6" s="8" t="s">
        <v>514</v>
      </c>
    </row>
    <row r="7" spans="1:5" ht="24" customHeight="1">
      <c r="A7" s="1" t="s">
        <v>509</v>
      </c>
      <c r="B7" s="1" t="s">
        <v>17</v>
      </c>
      <c r="C7" s="1" t="s">
        <v>155</v>
      </c>
      <c r="D7" s="1" t="s">
        <v>152</v>
      </c>
      <c r="E7" s="9" t="s">
        <v>515</v>
      </c>
    </row>
    <row r="8" spans="1:5" ht="24" customHeight="1">
      <c r="A8" s="1" t="s">
        <v>509</v>
      </c>
      <c r="B8" s="1" t="s">
        <v>17</v>
      </c>
      <c r="C8" s="1" t="s">
        <v>146</v>
      </c>
      <c r="D8" s="1" t="s">
        <v>143</v>
      </c>
      <c r="E8" s="10" t="s">
        <v>516</v>
      </c>
    </row>
    <row r="9" spans="1:5" ht="24" customHeight="1">
      <c r="A9" s="1" t="s">
        <v>509</v>
      </c>
      <c r="B9" s="1" t="s">
        <v>17</v>
      </c>
      <c r="C9" s="1" t="s">
        <v>111</v>
      </c>
      <c r="D9" s="1" t="s">
        <v>108</v>
      </c>
      <c r="E9" s="11" t="s">
        <v>517</v>
      </c>
    </row>
    <row r="10" spans="1:5" ht="24" customHeight="1">
      <c r="A10" s="1" t="s">
        <v>509</v>
      </c>
      <c r="B10" s="1" t="s">
        <v>17</v>
      </c>
      <c r="C10" s="1" t="s">
        <v>71</v>
      </c>
      <c r="D10" s="1" t="s">
        <v>68</v>
      </c>
      <c r="E10" s="12" t="s">
        <v>518</v>
      </c>
    </row>
    <row r="11" spans="1:5" ht="24" customHeight="1">
      <c r="A11" s="1" t="s">
        <v>509</v>
      </c>
      <c r="B11" s="1" t="s">
        <v>17</v>
      </c>
      <c r="C11" s="1" t="s">
        <v>66</v>
      </c>
      <c r="D11" s="1" t="s">
        <v>63</v>
      </c>
      <c r="E11" s="13" t="s">
        <v>519</v>
      </c>
    </row>
    <row r="12" spans="1:5" ht="24" customHeight="1">
      <c r="A12" s="1" t="s">
        <v>509</v>
      </c>
      <c r="B12" s="1" t="s">
        <v>17</v>
      </c>
      <c r="C12" s="1" t="s">
        <v>62</v>
      </c>
      <c r="D12" s="1" t="s">
        <v>59</v>
      </c>
      <c r="E12" s="14" t="s">
        <v>520</v>
      </c>
    </row>
    <row r="13" spans="1:5" ht="24" customHeight="1">
      <c r="A13" s="1" t="s">
        <v>509</v>
      </c>
      <c r="B13" s="1" t="s">
        <v>17</v>
      </c>
      <c r="C13" s="1" t="s">
        <v>25</v>
      </c>
      <c r="D13" s="1" t="s">
        <v>20</v>
      </c>
      <c r="E13" s="15" t="s">
        <v>521</v>
      </c>
    </row>
    <row r="14" spans="1:5" ht="24" customHeight="1">
      <c r="A14" s="1" t="s">
        <v>522</v>
      </c>
      <c r="B14" s="1" t="s">
        <v>307</v>
      </c>
      <c r="C14" s="1" t="s">
        <v>390</v>
      </c>
      <c r="D14" s="1" t="s">
        <v>280</v>
      </c>
      <c r="E14" s="16" t="s">
        <v>523</v>
      </c>
    </row>
    <row r="15" spans="1:5" ht="24" customHeight="1">
      <c r="A15" s="1" t="s">
        <v>522</v>
      </c>
      <c r="B15" s="1" t="s">
        <v>307</v>
      </c>
      <c r="C15" s="1" t="s">
        <v>415</v>
      </c>
      <c r="D15" s="1" t="s">
        <v>414</v>
      </c>
      <c r="E15" s="17" t="s">
        <v>524</v>
      </c>
    </row>
    <row r="16" spans="1:5" ht="24" customHeight="1">
      <c r="A16" s="1" t="s">
        <v>522</v>
      </c>
      <c r="B16" s="1" t="s">
        <v>307</v>
      </c>
      <c r="C16" s="1" t="s">
        <v>397</v>
      </c>
      <c r="D16" s="1" t="s">
        <v>396</v>
      </c>
      <c r="E16" s="18" t="s">
        <v>525</v>
      </c>
    </row>
    <row r="17" spans="1:5" ht="24" customHeight="1">
      <c r="A17" s="1" t="s">
        <v>522</v>
      </c>
      <c r="B17" s="1" t="s">
        <v>307</v>
      </c>
      <c r="C17" s="1" t="s">
        <v>484</v>
      </c>
      <c r="D17" s="1" t="s">
        <v>481</v>
      </c>
      <c r="E17" s="19" t="s">
        <v>526</v>
      </c>
    </row>
    <row r="18" spans="1:5" ht="24" customHeight="1">
      <c r="A18" s="1" t="s">
        <v>522</v>
      </c>
      <c r="B18" s="1" t="s">
        <v>307</v>
      </c>
      <c r="C18" s="1" t="s">
        <v>435</v>
      </c>
      <c r="D18" s="1" t="s">
        <v>432</v>
      </c>
      <c r="E18" s="20" t="s">
        <v>527</v>
      </c>
    </row>
    <row r="19" spans="1:5" ht="24" customHeight="1">
      <c r="A19" s="1" t="s">
        <v>522</v>
      </c>
      <c r="B19" s="1" t="s">
        <v>307</v>
      </c>
      <c r="C19" s="1" t="s">
        <v>353</v>
      </c>
      <c r="D19" s="1" t="s">
        <v>350</v>
      </c>
      <c r="E19" s="21" t="s">
        <v>528</v>
      </c>
    </row>
    <row r="20" spans="1:5" ht="24" customHeight="1">
      <c r="A20" s="1" t="s">
        <v>522</v>
      </c>
      <c r="B20" s="1" t="s">
        <v>307</v>
      </c>
      <c r="C20" s="1" t="s">
        <v>325</v>
      </c>
      <c r="D20" s="1" t="s">
        <v>322</v>
      </c>
      <c r="E20" s="22" t="s">
        <v>529</v>
      </c>
    </row>
    <row r="21" spans="1:5" ht="24" customHeight="1">
      <c r="A21" s="1" t="s">
        <v>522</v>
      </c>
      <c r="B21" s="1" t="s">
        <v>307</v>
      </c>
      <c r="C21" s="1" t="s">
        <v>329</v>
      </c>
      <c r="D21" s="1" t="s">
        <v>326</v>
      </c>
      <c r="E21" s="14" t="s">
        <v>520</v>
      </c>
    </row>
    <row r="22" spans="1:5" ht="24" customHeight="1">
      <c r="A22" s="1" t="s">
        <v>522</v>
      </c>
      <c r="B22" s="1" t="s">
        <v>307</v>
      </c>
      <c r="C22" s="1" t="s">
        <v>312</v>
      </c>
      <c r="D22" s="1" t="s">
        <v>308</v>
      </c>
      <c r="E22" s="23" t="s">
        <v>530</v>
      </c>
    </row>
    <row r="23" spans="1:5" ht="24" customHeight="1">
      <c r="A23" s="1" t="s">
        <v>522</v>
      </c>
      <c r="B23" s="1" t="s">
        <v>307</v>
      </c>
      <c r="C23" s="1" t="s">
        <v>316</v>
      </c>
      <c r="D23" s="1" t="s">
        <v>313</v>
      </c>
      <c r="E23" s="24" t="s">
        <v>531</v>
      </c>
    </row>
    <row r="24" spans="1:5" ht="24" customHeight="1">
      <c r="A24" s="1" t="s">
        <v>532</v>
      </c>
      <c r="B24" s="1" t="s">
        <v>221</v>
      </c>
      <c r="C24" s="1" t="s">
        <v>303</v>
      </c>
      <c r="D24" s="1" t="s">
        <v>300</v>
      </c>
      <c r="E24" s="25" t="s">
        <v>533</v>
      </c>
    </row>
    <row r="25" spans="1:5" ht="24" customHeight="1">
      <c r="A25" s="1" t="s">
        <v>532</v>
      </c>
      <c r="B25" s="1" t="s">
        <v>221</v>
      </c>
      <c r="C25" s="1" t="s">
        <v>279</v>
      </c>
      <c r="D25" s="1" t="s">
        <v>276</v>
      </c>
      <c r="E25" s="26" t="s">
        <v>534</v>
      </c>
    </row>
    <row r="26" spans="1:5" ht="24" customHeight="1">
      <c r="A26" s="1" t="s">
        <v>532</v>
      </c>
      <c r="B26" s="1" t="s">
        <v>221</v>
      </c>
      <c r="C26" s="1" t="s">
        <v>283</v>
      </c>
      <c r="D26" s="1" t="s">
        <v>280</v>
      </c>
      <c r="E26" s="27" t="s">
        <v>535</v>
      </c>
    </row>
    <row r="27" spans="1:5" ht="24" customHeight="1">
      <c r="A27" s="1" t="s">
        <v>532</v>
      </c>
      <c r="B27" s="1" t="s">
        <v>221</v>
      </c>
      <c r="C27" s="1" t="s">
        <v>263</v>
      </c>
      <c r="D27" s="1" t="s">
        <v>260</v>
      </c>
      <c r="E27" s="12" t="s">
        <v>518</v>
      </c>
    </row>
    <row r="28" spans="1:5" ht="24" customHeight="1">
      <c r="A28" s="1" t="s">
        <v>532</v>
      </c>
      <c r="B28" s="1" t="s">
        <v>221</v>
      </c>
      <c r="C28" s="1" t="s">
        <v>237</v>
      </c>
      <c r="D28" s="1" t="s">
        <v>234</v>
      </c>
      <c r="E28" s="28" t="s">
        <v>536</v>
      </c>
    </row>
    <row r="29" spans="1:5" ht="24" customHeight="1">
      <c r="A29" s="1" t="s">
        <v>532</v>
      </c>
      <c r="B29" s="1" t="s">
        <v>221</v>
      </c>
      <c r="C29" s="1" t="s">
        <v>241</v>
      </c>
      <c r="D29" s="1" t="s">
        <v>238</v>
      </c>
      <c r="E29" s="29" t="s">
        <v>537</v>
      </c>
    </row>
    <row r="30" spans="1:5" ht="24" customHeight="1">
      <c r="A30" s="1" t="s">
        <v>532</v>
      </c>
      <c r="B30" s="1" t="s">
        <v>221</v>
      </c>
      <c r="C30" s="1" t="s">
        <v>226</v>
      </c>
      <c r="D30" s="1" t="s">
        <v>222</v>
      </c>
      <c r="E30" s="30" t="s">
        <v>538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showGridLines="0" workbookViewId="0">
      <pane ySplit="1" topLeftCell="A2" activePane="bottomLeft" state="frozen"/>
      <selection pane="bottomLeft"/>
    </sheetView>
  </sheetViews>
  <sheetFormatPr baseColWidth="10" defaultColWidth="8.83203125" defaultRowHeight="14"/>
  <cols>
    <col min="1" max="1" width="28" customWidth="1"/>
    <col min="2" max="2" width="125" customWidth="1"/>
  </cols>
  <sheetData>
    <row r="1" spans="1:2" ht="40" customHeight="1">
      <c r="A1" s="2" t="s">
        <v>539</v>
      </c>
      <c r="B1" s="2" t="s">
        <v>540</v>
      </c>
    </row>
    <row r="2" spans="1:2" ht="58" customHeight="1">
      <c r="A2" s="1" t="s">
        <v>541</v>
      </c>
      <c r="B2" s="31" t="s">
        <v>542</v>
      </c>
    </row>
    <row r="3" spans="1:2" ht="58" customHeight="1">
      <c r="A3" s="1" t="s">
        <v>543</v>
      </c>
      <c r="B3" s="31" t="s">
        <v>544</v>
      </c>
    </row>
    <row r="4" spans="1:2" ht="58" customHeight="1">
      <c r="A4" s="1" t="s">
        <v>545</v>
      </c>
      <c r="B4" s="31" t="s">
        <v>546</v>
      </c>
    </row>
    <row r="5" spans="1:2" ht="58" customHeight="1">
      <c r="A5" s="1" t="s">
        <v>547</v>
      </c>
      <c r="B5" s="31" t="s">
        <v>548</v>
      </c>
    </row>
    <row r="6" spans="1:2" ht="58" customHeight="1">
      <c r="A6" s="1" t="s">
        <v>549</v>
      </c>
      <c r="B6" s="31" t="s">
        <v>550</v>
      </c>
    </row>
    <row r="7" spans="1:2" ht="58" customHeight="1">
      <c r="A7" s="1" t="s">
        <v>551</v>
      </c>
      <c r="B7" s="31" t="s">
        <v>552</v>
      </c>
    </row>
    <row r="8" spans="1:2" ht="58" customHeight="1">
      <c r="A8" s="1" t="s">
        <v>553</v>
      </c>
      <c r="B8" s="31" t="s">
        <v>554</v>
      </c>
    </row>
    <row r="9" spans="1:2" ht="58" customHeight="1">
      <c r="A9" s="1" t="s">
        <v>555</v>
      </c>
      <c r="B9" s="31" t="s">
        <v>556</v>
      </c>
    </row>
    <row r="10" spans="1:2" ht="58" customHeight="1">
      <c r="A10" s="1" t="s">
        <v>557</v>
      </c>
      <c r="B10" s="31" t="s">
        <v>558</v>
      </c>
    </row>
    <row r="11" spans="1:2" ht="58" customHeight="1">
      <c r="A11" s="1" t="s">
        <v>559</v>
      </c>
      <c r="B11" s="31" t="s">
        <v>560</v>
      </c>
    </row>
    <row r="12" spans="1:2" ht="58" customHeight="1">
      <c r="A12" s="1" t="s">
        <v>561</v>
      </c>
      <c r="B12" s="31" t="s">
        <v>562</v>
      </c>
    </row>
    <row r="13" spans="1:2" ht="58" customHeight="1">
      <c r="A13" s="1" t="s">
        <v>563</v>
      </c>
      <c r="B13" s="31" t="s">
        <v>564</v>
      </c>
    </row>
    <row r="14" spans="1:2" ht="58" customHeight="1">
      <c r="A14" s="1" t="s">
        <v>565</v>
      </c>
      <c r="B14" s="31" t="s">
        <v>566</v>
      </c>
    </row>
    <row r="15" spans="1:2" ht="58" customHeight="1">
      <c r="A15" s="1" t="s">
        <v>567</v>
      </c>
      <c r="B15" s="31" t="s">
        <v>568</v>
      </c>
    </row>
    <row r="16" spans="1:2" ht="58" customHeight="1">
      <c r="A16" s="1" t="s">
        <v>569</v>
      </c>
      <c r="B16" s="31" t="s">
        <v>570</v>
      </c>
    </row>
    <row r="17" spans="1:2" ht="58" customHeight="1">
      <c r="A17" s="1" t="s">
        <v>571</v>
      </c>
      <c r="B17" s="31" t="s">
        <v>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Profiles</vt:lpstr>
      <vt:lpstr>Profile key</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Scott, Carly Brielle</cp:lastModifiedBy>
  <dcterms:created xsi:type="dcterms:W3CDTF">2026-10-23T16:48:55Z</dcterms:created>
  <dcterms:modified xsi:type="dcterms:W3CDTF">2026-10-23T16:48:55Z</dcterms:modified>
</cp:coreProperties>
</file>